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Tareas" sheetId="2" state="visible" r:id="rId2"/>
    <sheet name="Planner" sheetId="3" state="visible" r:id="rId3"/>
    <sheet name="Cambios" sheetId="4" state="visible" r:id="rId4"/>
    <sheet name="Decisiones" sheetId="5" state="visible" r:id="rId5"/>
    <sheet name="Pendientes_dueño" sheetId="6" state="visible" r:id="rId6"/>
    <sheet name="Riesgos" sheetId="7" state="visible" r:id="rId7"/>
    <sheet name="Comision" sheetId="8" state="visible" r:id="rId8"/>
    <sheet name="Presupuesto" sheetId="9" state="visible" r:id="rId9"/>
    <sheet name="Pruebas" sheetId="10" state="visible" r:id="rId10"/>
    <sheet name="Corfo" sheetId="11" state="visible" r:id="rId11"/>
    <sheet name="Gantt" sheetId="12" state="visible" r:id="rId12"/>
  </sheets>
  <definedNames>
    <definedName name="_xlnm._FilterDatabase" localSheetId="1" hidden="1">'Tareas'!$A$1:$J$54</definedName>
    <definedName name="_xlnm._FilterDatabase" localSheetId="3" hidden="1">'Cambios'!$A$1:$E$48</definedName>
    <definedName name="_xlnm._FilterDatabase" localSheetId="4" hidden="1">'Decisiones'!$A$1:$F$16</definedName>
    <definedName name="_xlnm._FilterDatabase" localSheetId="5" hidden="1">'Pendientes_dueño'!$A$1:$E$14</definedName>
    <definedName name="_xlnm._FilterDatabase" localSheetId="6" hidden="1">'Riesgos'!$A$1:$G$12</definedName>
    <definedName name="_xlnm._FilterDatabase" localSheetId="9" hidden="1">'Pruebas'!$A$1:$H$26</definedName>
    <definedName name="_xlnm._FilterDatabase" localSheetId="10" hidden="1">'Corfo'!$A$1:$G$25</definedName>
  </definedNames>
  <calcPr calcId="124519" fullCalcOnLoad="1"/>
</workbook>
</file>

<file path=xl/styles.xml><?xml version="1.0" encoding="utf-8"?>
<styleSheet xmlns="http://schemas.openxmlformats.org/spreadsheetml/2006/main">
  <numFmts count="3">
    <numFmt numFmtId="164" formatCode="0.0%"/>
    <numFmt numFmtId="165" formatCode="#,##0;[Red]-#,##0;-"/>
    <numFmt numFmtId="166" formatCode="&quot;M&quot;0"/>
  </numFmts>
  <fonts count="7">
    <font>
      <name val="Calibri"/>
      <family val="2"/>
      <color theme="1"/>
      <sz val="11"/>
      <scheme val="minor"/>
    </font>
    <font>
      <name val="Arial"/>
      <b val="1"/>
      <color rgb="001F3A5F"/>
      <sz val="14"/>
    </font>
    <font>
      <name val="Arial"/>
      <b val="1"/>
      <sz val="10"/>
    </font>
    <font>
      <name val="Arial"/>
      <sz val="10"/>
    </font>
    <font>
      <name val="Arial"/>
      <b val="1"/>
      <color rgb="00FFFFFF"/>
      <sz val="10"/>
    </font>
    <font>
      <name val="Arial"/>
      <color rgb="000000FF"/>
      <sz val="10"/>
    </font>
    <font>
      <name val="Arial"/>
      <i val="1"/>
      <color rgb="00595959"/>
      <sz val="9"/>
    </font>
  </fonts>
  <fills count="4">
    <fill>
      <patternFill/>
    </fill>
    <fill>
      <patternFill patternType="gray125"/>
    </fill>
    <fill>
      <patternFill patternType="solid">
        <fgColor rgb="001F3A5F"/>
      </patternFill>
    </fill>
    <fill>
      <patternFill patternType="solid">
        <fgColor rgb="00FFFF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2" borderId="1" pivotButton="0" quotePrefix="0" xfId="0"/>
    <xf numFmtId="0" fontId="6" fillId="0" borderId="0" pivotButton="0" quotePrefix="0" xfId="0"/>
    <xf numFmtId="0" fontId="6" fillId="0" borderId="0" applyAlignment="1" pivotButton="0" quotePrefix="0" xfId="0">
      <alignment vertical="top" wrapText="1"/>
    </xf>
    <xf numFmtId="0" fontId="3" fillId="0" borderId="0" pivotButton="0" quotePrefix="0" xfId="0"/>
    <xf numFmtId="3" fontId="5" fillId="3" borderId="1" pivotButton="0" quotePrefix="0" xfId="0"/>
    <xf numFmtId="9" fontId="5" fillId="3" borderId="1" pivotButton="0" quotePrefix="0" xfId="0"/>
    <xf numFmtId="1" fontId="5" fillId="3" borderId="1" pivotButton="0" quotePrefix="0" xfId="0"/>
    <xf numFmtId="0" fontId="4" fillId="2" borderId="0" pivotButton="0" quotePrefix="0" xfId="0"/>
    <xf numFmtId="164" fontId="5" fillId="3" borderId="1" pivotButton="0" quotePrefix="0" xfId="0"/>
    <xf numFmtId="10" fontId="5" fillId="3" borderId="1" pivotButton="0" quotePrefix="0" xfId="0"/>
    <xf numFmtId="0" fontId="4" fillId="2" borderId="0" applyAlignment="1" pivotButton="0" quotePrefix="0" xfId="0">
      <alignment wrapText="1"/>
    </xf>
    <xf numFmtId="164" fontId="3" fillId="0" borderId="1" pivotButton="0" quotePrefix="0" xfId="0"/>
    <xf numFmtId="165" fontId="3" fillId="0" borderId="1" pivotButton="0" quotePrefix="0" xfId="0"/>
    <xf numFmtId="3" fontId="5" fillId="3" borderId="1" applyAlignment="1" pivotButton="0" quotePrefix="0" xfId="0">
      <alignment vertical="top" wrapText="1"/>
    </xf>
    <xf numFmtId="3" fontId="3" fillId="0" borderId="1" applyAlignment="1" pivotButton="0" quotePrefix="0" xfId="0">
      <alignment vertical="top" wrapText="1"/>
    </xf>
    <xf numFmtId="3" fontId="2" fillId="0" borderId="0" pivotButton="0" quotePrefix="0" xfId="0"/>
    <xf numFmtId="166" fontId="4" fillId="2" borderId="1" applyAlignment="1" pivotButton="0" quotePrefix="0" xfId="0">
      <alignment horizontal="center"/>
    </xf>
    <xf numFmtId="0" fontId="3" fillId="0" borderId="1" pivotButton="0" quotePrefix="0" xfId="0"/>
    <xf numFmtId="0" fontId="5" fillId="0" borderId="1" pivotButton="0" quotePrefix="0" xfId="0"/>
    <xf numFmtId="0" fontId="0" fillId="0" borderId="1" pivotButton="0" quotePrefix="0" xfId="0"/>
  </cellXfs>
  <cellStyles count="1">
    <cellStyle name="Normal" xfId="0" builtinId="0" hidden="0"/>
  </cellStyles>
  <dxfs count="4">
    <dxf>
      <fill>
        <patternFill patternType="solid">
          <bgColor rgb="00E2F0D9"/>
        </patternFill>
      </fill>
    </dxf>
    <dxf>
      <fill>
        <patternFill patternType="solid">
          <bgColor rgb="00F8CBAD"/>
        </patternFill>
      </fill>
    </dxf>
    <dxf>
      <fill>
        <patternFill patternType="solid">
          <bgColor rgb="00FFF2CC"/>
        </patternFill>
      </fill>
    </dxf>
    <dxf>
      <fill>
        <patternFill patternType="solid">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KeyServ — Seguimiento del proyecto</t>
        </is>
      </c>
    </row>
    <row r="3" ht="48" customHeight="1">
      <c r="A3" s="2" t="inlineStr">
        <is>
          <t>Para qué sirve</t>
        </is>
      </c>
      <c r="B3" s="3" t="inlineStr">
        <is>
          <t>Un solo lugar para no perder nada: qué falta (Tareas), qué cambió (Cambios), qué se decidió (Decisiones), qué depende de ti (Pendientes_dueño), qué puede salir mal (Riesgos), cuánto cuesta (Presupuesto, Comision) y cómo probarlo (Pruebas).</t>
        </is>
      </c>
    </row>
    <row r="4" ht="48" customHeight="1">
      <c r="A4" s="2" t="inlineStr">
        <is>
          <t>Cómo usarlo</t>
        </is>
      </c>
      <c r="B4" s="3" t="inlineStr">
        <is>
          <t>Cada vez que se agregue o cambie algo: 1) una fila en Cambios (o corre el paso del README), 2) actualiza el Estado de la tarea en Tareas, 3) si fue una decisión, una fila en Decisiones. La fuente de verdad del código es git; esto es el tablero.</t>
        </is>
      </c>
    </row>
    <row r="5" ht="48" customHeight="1">
      <c r="A5" s="2" t="inlineStr">
        <is>
          <t>Colores</t>
        </is>
      </c>
      <c r="B5" s="3" t="inlineStr">
        <is>
          <t>Texto azul = dato que tú puedes cambiar. Celda amarilla = falta que la completes. Negro = fórmula o texto fijo. Los estados se pintan solos: Hecho (verde), En curso (amarillo), Bloqueado (rojo).</t>
        </is>
      </c>
    </row>
    <row r="6" ht="48" customHeight="1">
      <c r="A6" s="2" t="inlineStr">
        <is>
          <t>Planner</t>
        </is>
      </c>
      <c r="B6" s="3" t="inlineStr">
        <is>
          <t>La hoja "Planner" ya trae las columnas que usa Microsoft Planner (Título, Bucket, Progreso, Prioridad, Fecha límite, Asignado, Notas) y se llena sola desde Tareas. Cópiala y pégala en Planner, o súbela a Excel Online/Teams y conéctala con Power Automate.</t>
        </is>
      </c>
    </row>
    <row r="7" ht="48" customHeight="1">
      <c r="A7" s="2" t="inlineStr">
        <is>
          <t>Hojas</t>
        </is>
      </c>
      <c r="B7" s="3" t="inlineStr">
        <is>
          <t>Tareas · Planner · Cambios · Decisiones · Pendientes_dueño · Riesgos · Comision (calculadora con fórmulas) · Presupuesto · Pruebas · Corfo (requisitos de las bases) · Gantt (10 meses de ejecución)</t>
        </is>
      </c>
    </row>
    <row r="8" ht="48" customHeight="1">
      <c r="A8" s="2" t="inlineStr">
        <is>
          <t>Repositorio</t>
        </is>
      </c>
      <c r="B8" s="3" t="inlineStr">
        <is>
          <t>Docs en docs/ (índice en docs/README.md). Estado de la sesión: docs/ESTADO_Y_PROXIMOS_PASOS.md. Seguimiento: docs/seguimiento/README.md.</t>
        </is>
      </c>
    </row>
    <row r="9" ht="48" customHeight="1">
      <c r="A9" s="2" t="inlineStr">
        <is>
          <t>Última actualización</t>
        </is>
      </c>
      <c r="B9" s="3" t="inlineStr">
        <is>
          <t>Generado el 2026-10-16 a partir del repositorio (hoja Cambios sale de git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70" customWidth="1" min="3" max="3"/>
    <col width="10" customWidth="1" min="4" max="4"/>
    <col width="12" customWidth="1" min="5" max="5"/>
    <col width="12" customWidth="1" min="6" max="6"/>
    <col width="22" customWidth="1" min="7" max="7"/>
    <col width="14" customWidth="1" min="8" max="8"/>
    <col width="50" customWidth="1" min="9" max="9"/>
    <col width="28" customWidth="1" min="10" max="10"/>
  </cols>
  <sheetData>
    <row r="1" ht="30" customHeight="1">
      <c r="A1" s="4" t="inlineStr">
        <is>
          <t>ID</t>
        </is>
      </c>
      <c r="B1" s="4" t="inlineStr">
        <is>
          <t>Área</t>
        </is>
      </c>
      <c r="C1" s="4" t="inlineStr">
        <is>
          <t>Tarea</t>
        </is>
      </c>
      <c r="D1" s="4" t="inlineStr">
        <is>
          <t>Prioridad</t>
        </is>
      </c>
      <c r="E1" s="4" t="inlineStr">
        <is>
          <t>Estado</t>
        </is>
      </c>
      <c r="F1" s="4" t="inlineStr">
        <is>
          <t>Responsable</t>
        </is>
      </c>
      <c r="G1" s="4" t="inlineStr">
        <is>
          <t>Depende de</t>
        </is>
      </c>
      <c r="H1" s="4" t="inlineStr">
        <is>
          <t>Fecha límite</t>
        </is>
      </c>
      <c r="I1" s="4" t="inlineStr">
        <is>
          <t>Notas</t>
        </is>
      </c>
      <c r="J1" s="4" t="inlineStr">
        <is>
          <t>Referencia</t>
        </is>
      </c>
    </row>
    <row r="2">
      <c r="A2" s="5" t="inlineStr">
        <is>
          <t>T-001</t>
        </is>
      </c>
      <c r="B2" s="5" t="inlineStr">
        <is>
          <t>Cuentas y claves</t>
        </is>
      </c>
      <c r="C2" s="5" t="inlineStr">
        <is>
          <t>Crear cuenta SMTP (Gmail/Outlook/Brevo) y cargar SMTP_* y DJANGO_DEFAULT_FROM_EMAIL en .env y en Render; probar con probar_correo</t>
        </is>
      </c>
      <c r="D2" s="6" t="inlineStr">
        <is>
          <t>Alta</t>
        </is>
      </c>
      <c r="E2" s="6" t="inlineStr">
        <is>
          <t>Pendiente</t>
        </is>
      </c>
      <c r="F2" s="6" t="inlineStr">
        <is>
          <t>Dueño</t>
        </is>
      </c>
      <c r="G2" s="6" t="inlineStr"/>
      <c r="H2" s="6" t="inlineStr"/>
      <c r="I2" s="5" t="inlineStr">
        <is>
          <t>Desbloquea recuperar clave, códigos por correo y todos los avisos</t>
        </is>
      </c>
      <c r="J2" s="5" t="inlineStr">
        <is>
          <t>ESTADO_Y_PROXIMOS_PASOS.md</t>
        </is>
      </c>
    </row>
    <row r="3">
      <c r="A3" s="5" t="inlineStr">
        <is>
          <t>T-002</t>
        </is>
      </c>
      <c r="B3" s="5" t="inlineStr">
        <is>
          <t>Cuentas y claves</t>
        </is>
      </c>
      <c r="C3" s="5" t="inlineStr">
        <is>
          <t>Crear cuenta de pruebas en sandbox.flow.cl y cargar FLOW_API_KEY, FLOW_SECRET_KEY, FLOW_AMBIENTE</t>
        </is>
      </c>
      <c r="D3" s="6" t="inlineStr">
        <is>
          <t>Alta</t>
        </is>
      </c>
      <c r="E3" s="6" t="inlineStr">
        <is>
          <t>Pendiente</t>
        </is>
      </c>
      <c r="F3" s="6" t="inlineStr">
        <is>
          <t>Dueño</t>
        </is>
      </c>
      <c r="G3" s="6" t="inlineStr"/>
      <c r="H3" s="6" t="inlineStr"/>
      <c r="I3" s="5" t="inlineStr">
        <is>
          <t>Escribirlas tú, nunca en el chat</t>
        </is>
      </c>
      <c r="J3" s="5" t="inlineStr">
        <is>
          <t>ESTADO_Y_PROXIMOS_PASOS.md</t>
        </is>
      </c>
    </row>
    <row r="4">
      <c r="A4" s="5" t="inlineStr">
        <is>
          <t>T-003</t>
        </is>
      </c>
      <c r="B4" s="5" t="inlineStr">
        <is>
          <t>Cuentas y claves</t>
        </is>
      </c>
      <c r="C4" s="5" t="inlineStr">
        <is>
          <t>Crear aplicación en Mercado Pago Chile y cargar MERCADOPAGO_ACCESS_TOKEN de prueba (TEST-...)</t>
        </is>
      </c>
      <c r="D4" s="6" t="inlineStr">
        <is>
          <t>Alta</t>
        </is>
      </c>
      <c r="E4" s="6" t="inlineStr">
        <is>
          <t>Pendiente</t>
        </is>
      </c>
      <c r="F4" s="6" t="inlineStr">
        <is>
          <t>Dueño</t>
        </is>
      </c>
      <c r="G4" s="6" t="inlineStr"/>
      <c r="H4" s="6" t="inlineStr"/>
      <c r="I4" s="5" t="inlineStr">
        <is>
          <t>Sus notificaciones exigen URL pública https: probar contra Render</t>
        </is>
      </c>
      <c r="J4" s="5" t="inlineStr">
        <is>
          <t>ESTADO_Y_PROXIMOS_PASOS.md</t>
        </is>
      </c>
    </row>
    <row r="5">
      <c r="A5" s="5" t="inlineStr">
        <is>
          <t>T-004</t>
        </is>
      </c>
      <c r="B5" s="5" t="inlineStr">
        <is>
          <t>Cuentas y claves</t>
        </is>
      </c>
      <c r="C5" s="5" t="inlineStr">
        <is>
          <t>Fijar en Render DJANGO_SECRET_KEY, JWT_SECRET y BIOMETRIC_ENCRYPTION_KEYS (hoy usan valores por defecto)</t>
        </is>
      </c>
      <c r="D5" s="6" t="inlineStr">
        <is>
          <t>Media</t>
        </is>
      </c>
      <c r="E5" s="6" t="inlineStr">
        <is>
          <t>Pendiente</t>
        </is>
      </c>
      <c r="F5" s="6" t="inlineStr">
        <is>
          <t>Dueño</t>
        </is>
      </c>
      <c r="G5" s="6" t="inlineStr"/>
      <c r="H5" s="6" t="inlineStr"/>
      <c r="I5" s="5" t="inlineStr">
        <is>
          <t>Cambiar JWT_SECRET cierra la sesión de todos; BIOMETRIC_* exige rotar antes (rotar_llaves_biometricas)</t>
        </is>
      </c>
      <c r="J5" s="5" t="inlineStr">
        <is>
          <t>docs/cumplimiento/rotacion-de-llaves.md</t>
        </is>
      </c>
    </row>
    <row r="6">
      <c r="A6" s="5" t="inlineStr">
        <is>
          <t>T-005</t>
        </is>
      </c>
      <c r="B6" s="5" t="inlineStr">
        <is>
          <t>Cuentas y claves</t>
        </is>
      </c>
      <c r="C6" s="5" t="inlineStr">
        <is>
          <t>Respaldar keyserv-release.keystore y keystore.properties fuera del repo</t>
        </is>
      </c>
      <c r="D6" s="6" t="inlineStr">
        <is>
          <t>Media</t>
        </is>
      </c>
      <c r="E6" s="6" t="inlineStr">
        <is>
          <t>Pendiente</t>
        </is>
      </c>
      <c r="F6" s="6" t="inlineStr">
        <is>
          <t>Dueño</t>
        </is>
      </c>
      <c r="G6" s="6" t="inlineStr"/>
      <c r="H6" s="6" t="inlineStr"/>
      <c r="I6" s="5" t="inlineStr">
        <is>
          <t>Perderlos = no poder actualizar la app en Play Store</t>
        </is>
      </c>
      <c r="J6" s="5" t="inlineStr">
        <is>
          <t>CLAUDE.md</t>
        </is>
      </c>
    </row>
    <row r="7">
      <c r="A7" s="5" t="inlineStr">
        <is>
          <t>T-006</t>
        </is>
      </c>
      <c r="B7" s="5" t="inlineStr">
        <is>
          <t>Cuentas y claves</t>
        </is>
      </c>
      <c r="C7" s="5" t="inlineStr">
        <is>
          <t>Revisar términos del API gratuito de NVIDIA para producción y declarar el envío de texto fuera de Chile</t>
        </is>
      </c>
      <c r="D7" s="6" t="inlineStr">
        <is>
          <t>Media</t>
        </is>
      </c>
      <c r="E7" s="6" t="inlineStr">
        <is>
          <t>Pendiente</t>
        </is>
      </c>
      <c r="F7" s="6" t="inlineStr">
        <is>
          <t>Dueño</t>
        </is>
      </c>
      <c r="G7" s="6" t="inlineStr"/>
      <c r="H7" s="6" t="inlineStr"/>
      <c r="I7" s="5" t="inlineStr"/>
      <c r="J7" s="5" t="inlineStr">
        <is>
          <t>docs/adr/0005</t>
        </is>
      </c>
    </row>
    <row r="8">
      <c r="A8" s="5" t="inlineStr">
        <is>
          <t>T-007</t>
        </is>
      </c>
      <c r="B8" s="5" t="inlineStr">
        <is>
          <t>Legal</t>
        </is>
      </c>
      <c r="C8" s="5" t="inlineStr">
        <is>
          <t>Revisión de un abogado: consentimiento biométrico, video de verificación, EIPD, qué se conserva al eliminar cuenta, evidencia para investigaciones</t>
        </is>
      </c>
      <c r="D8" s="6" t="inlineStr">
        <is>
          <t>Alta</t>
        </is>
      </c>
      <c r="E8" s="6" t="inlineStr">
        <is>
          <t>Pendiente</t>
        </is>
      </c>
      <c r="F8" s="6" t="inlineStr">
        <is>
          <t>Dueño</t>
        </is>
      </c>
      <c r="G8" s="6" t="inlineStr"/>
      <c r="H8" s="6" t="inlineStr"/>
      <c r="I8" s="5" t="inlineStr">
        <is>
          <t>Ver preguntas en ADR 0007</t>
        </is>
      </c>
      <c r="J8" s="5" t="inlineStr">
        <is>
          <t>docs/adr/0007</t>
        </is>
      </c>
    </row>
    <row r="9">
      <c r="A9" s="5" t="inlineStr">
        <is>
          <t>T-008</t>
        </is>
      </c>
      <c r="B9" s="5" t="inlineStr">
        <is>
          <t>Legal</t>
        </is>
      </c>
      <c r="C9" s="5" t="inlineStr">
        <is>
          <t>Redactar Términos y Condiciones (quién responde por el servicio, reembolsos, disputas, comisión)</t>
        </is>
      </c>
      <c r="D9" s="6" t="inlineStr">
        <is>
          <t>Alta</t>
        </is>
      </c>
      <c r="E9" s="6" t="inlineStr">
        <is>
          <t>Pendiente</t>
        </is>
      </c>
      <c r="F9" s="6" t="inlineStr">
        <is>
          <t>Dueño</t>
        </is>
      </c>
      <c r="G9" s="6" t="inlineStr">
        <is>
          <t>Abogado</t>
        </is>
      </c>
      <c r="H9" s="6" t="inlineStr"/>
      <c r="I9" s="5" t="inlineStr">
        <is>
          <t>Hoy no existen</t>
        </is>
      </c>
      <c r="J9" s="5" t="inlineStr">
        <is>
          <t>PLAN_FLUJO_DE_DINERO.md</t>
        </is>
      </c>
    </row>
    <row r="10">
      <c r="A10" s="5" t="inlineStr">
        <is>
          <t>T-009</t>
        </is>
      </c>
      <c r="B10" s="5" t="inlineStr">
        <is>
          <t>Legal</t>
        </is>
      </c>
      <c r="C10" s="5" t="inlineStr">
        <is>
          <t>Consultar si custodiar fondos de terceros cae bajo la Ley Fintech 21.521</t>
        </is>
      </c>
      <c r="D10" s="6" t="inlineStr">
        <is>
          <t>Alta</t>
        </is>
      </c>
      <c r="E10" s="6" t="inlineStr">
        <is>
          <t>Pendiente</t>
        </is>
      </c>
      <c r="F10" s="6" t="inlineStr">
        <is>
          <t>Dueño</t>
        </is>
      </c>
      <c r="G10" s="6" t="inlineStr">
        <is>
          <t>Abogado</t>
        </is>
      </c>
      <c r="H10" s="6" t="inlineStr"/>
      <c r="I10" s="5" t="inlineStr">
        <is>
          <t>Pregunta de mayor riesgo del plan de dinero</t>
        </is>
      </c>
      <c r="J10" s="5" t="inlineStr">
        <is>
          <t>PLAN_FLUJO_DE_DINERO.md</t>
        </is>
      </c>
    </row>
    <row r="11">
      <c r="A11" s="5" t="inlineStr">
        <is>
          <t>T-010</t>
        </is>
      </c>
      <c r="B11" s="5" t="inlineStr">
        <is>
          <t>Negocio</t>
        </is>
      </c>
      <c r="C11" s="5" t="inlineStr">
        <is>
          <t>Contador: IVA de la comisión, boleta/factura, retenciones, régimen para iniciar actividades</t>
        </is>
      </c>
      <c r="D11" s="6" t="inlineStr">
        <is>
          <t>Alta</t>
        </is>
      </c>
      <c r="E11" s="6" t="inlineStr">
        <is>
          <t>Pendiente</t>
        </is>
      </c>
      <c r="F11" s="6" t="inlineStr">
        <is>
          <t>Dueño</t>
        </is>
      </c>
      <c r="G11" s="6" t="inlineStr"/>
      <c r="H11" s="6" t="inlineStr"/>
      <c r="I11" s="5" t="inlineStr"/>
      <c r="J11" s="5" t="inlineStr">
        <is>
          <t>PLAN_FLUJO_DE_DINERO.md</t>
        </is>
      </c>
    </row>
    <row r="12">
      <c r="A12" s="5" t="inlineStr">
        <is>
          <t>T-011</t>
        </is>
      </c>
      <c r="B12" s="5" t="inlineStr">
        <is>
          <t>Negocio</t>
        </is>
      </c>
      <c r="C12" s="5" t="inlineStr">
        <is>
          <t>Decidir la comisión final (tramos, mínimo, quién la paga) con las tarifas reales de cada pasarela</t>
        </is>
      </c>
      <c r="D12" s="6" t="inlineStr">
        <is>
          <t>Alta</t>
        </is>
      </c>
      <c r="E12" s="6" t="inlineStr">
        <is>
          <t>Pendiente</t>
        </is>
      </c>
      <c r="F12" s="6" t="inlineStr">
        <is>
          <t>Dueño</t>
        </is>
      </c>
      <c r="G12" s="6" t="inlineStr">
        <is>
          <t>Tarifas confirmadas</t>
        </is>
      </c>
      <c r="H12" s="6" t="inlineStr"/>
      <c r="I12" s="5" t="inlineStr">
        <is>
          <t>Por defecto 6/5/4,5/4 % y mínimo $1.000; ver hoja Comision y ANALISIS_COMISION.md</t>
        </is>
      </c>
      <c r="J12" s="5" t="inlineStr">
        <is>
          <t>ANALISIS_COMISION.md</t>
        </is>
      </c>
    </row>
    <row r="13">
      <c r="A13" s="5" t="inlineStr">
        <is>
          <t>T-012</t>
        </is>
      </c>
      <c r="B13" s="5" t="inlineStr">
        <is>
          <t>Negocio</t>
        </is>
      </c>
      <c r="C13" s="5" t="inlineStr">
        <is>
          <t>Decidir qué promete "identidad verificada" (cambiar el texto o llegar a vincular con la cédula)</t>
        </is>
      </c>
      <c r="D13" s="6" t="inlineStr">
        <is>
          <t>Alta</t>
        </is>
      </c>
      <c r="E13" s="6" t="inlineStr">
        <is>
          <t>Pendiente</t>
        </is>
      </c>
      <c r="F13" s="6" t="inlineStr">
        <is>
          <t>Dueño</t>
        </is>
      </c>
      <c r="G13" s="6" t="inlineStr"/>
      <c r="H13" s="6" t="inlineStr"/>
      <c r="I13" s="5" t="inlineStr">
        <is>
          <t>Video + cédula revisada por una persona ya implementado como vía sin biometría</t>
        </is>
      </c>
      <c r="J13" s="5" t="inlineStr">
        <is>
          <t>docs/adr/0006</t>
        </is>
      </c>
    </row>
    <row r="14">
      <c r="A14" s="5" t="inlineStr">
        <is>
          <t>T-013</t>
        </is>
      </c>
      <c r="B14" s="5" t="inlineStr">
        <is>
          <t>Corfo</t>
        </is>
      </c>
      <c r="C14" s="5" t="inlineStr">
        <is>
          <t>Elegir programa Corfo y leer las bases oficiales vigentes</t>
        </is>
      </c>
      <c r="D14" s="6" t="inlineStr">
        <is>
          <t>Alta</t>
        </is>
      </c>
      <c r="E14" s="6" t="inlineStr">
        <is>
          <t>Pendiente</t>
        </is>
      </c>
      <c r="F14" s="6" t="inlineStr">
        <is>
          <t>Dueño</t>
        </is>
      </c>
      <c r="G14" s="6" t="inlineStr"/>
      <c r="H14" s="6" t="inlineStr"/>
      <c r="I14" s="5" t="inlineStr"/>
      <c r="J14" s="5" t="inlineStr">
        <is>
          <t>ESTADO_Y_PROXIMOS_PASOS.md</t>
        </is>
      </c>
    </row>
    <row r="15">
      <c r="A15" s="5" t="inlineStr">
        <is>
          <t>T-014</t>
        </is>
      </c>
      <c r="B15" s="5" t="inlineStr">
        <is>
          <t>Corfo</t>
        </is>
      </c>
      <c r="C15" s="5" t="inlineStr">
        <is>
          <t>Encuesta con personas reales (Google Forms) para datos de necesidad de mercado</t>
        </is>
      </c>
      <c r="D15" s="6" t="inlineStr">
        <is>
          <t>Media</t>
        </is>
      </c>
      <c r="E15" s="6" t="inlineStr">
        <is>
          <t>Pendiente</t>
        </is>
      </c>
      <c r="F15" s="6" t="inlineStr">
        <is>
          <t>Dueño</t>
        </is>
      </c>
      <c r="G15" s="6" t="inlineStr"/>
      <c r="H15" s="6" t="inlineStr"/>
      <c r="I15" s="5" t="inlineStr"/>
      <c r="J15" s="5" t="inlineStr">
        <is>
          <t>ESTADO_Y_PROXIMOS_PASOS.md</t>
        </is>
      </c>
    </row>
    <row r="16">
      <c r="A16" s="5" t="inlineStr">
        <is>
          <t>T-015</t>
        </is>
      </c>
      <c r="B16" s="5" t="inlineStr">
        <is>
          <t>Corfo</t>
        </is>
      </c>
      <c r="C16" s="5" t="inlineStr">
        <is>
          <t>Presupuesto con supuestos escritos (hoja Presupuesto)</t>
        </is>
      </c>
      <c r="D16" s="6" t="inlineStr">
        <is>
          <t>Media</t>
        </is>
      </c>
      <c r="E16" s="6" t="inlineStr">
        <is>
          <t>Pendiente</t>
        </is>
      </c>
      <c r="F16" s="6" t="inlineStr">
        <is>
          <t>Dueño</t>
        </is>
      </c>
      <c r="G16" s="6" t="inlineStr"/>
      <c r="H16" s="6" t="inlineStr"/>
      <c r="I16" s="5" t="inlineStr"/>
      <c r="J16" s="5" t="inlineStr">
        <is>
          <t>hoja Presupuesto</t>
        </is>
      </c>
    </row>
    <row r="17">
      <c r="A17" s="5" t="inlineStr">
        <is>
          <t>T-016</t>
        </is>
      </c>
      <c r="B17" s="5" t="inlineStr">
        <is>
          <t>Corfo</t>
        </is>
      </c>
      <c r="C17" s="5" t="inlineStr">
        <is>
          <t>Definir equipo y asesores con roles</t>
        </is>
      </c>
      <c r="D17" s="6" t="inlineStr">
        <is>
          <t>Media</t>
        </is>
      </c>
      <c r="E17" s="6" t="inlineStr">
        <is>
          <t>Pendiente</t>
        </is>
      </c>
      <c r="F17" s="6" t="inlineStr">
        <is>
          <t>Dueño</t>
        </is>
      </c>
      <c r="G17" s="6" t="inlineStr"/>
      <c r="H17" s="6" t="inlineStr"/>
      <c r="I17" s="5" t="inlineStr"/>
      <c r="J17" s="5" t="inlineStr"/>
    </row>
    <row r="18">
      <c r="A18" s="5" t="inlineStr">
        <is>
          <t>T-017</t>
        </is>
      </c>
      <c r="B18" s="5" t="inlineStr">
        <is>
          <t>Corfo</t>
        </is>
      </c>
      <c r="C18" s="5" t="inlineStr">
        <is>
          <t>Grabar el video demo del README</t>
        </is>
      </c>
      <c r="D18" s="6" t="inlineStr">
        <is>
          <t>Media</t>
        </is>
      </c>
      <c r="E18" s="6" t="inlineStr">
        <is>
          <t>Pendiente</t>
        </is>
      </c>
      <c r="F18" s="6" t="inlineStr">
        <is>
          <t>Dueño</t>
        </is>
      </c>
      <c r="G18" s="6" t="inlineStr"/>
      <c r="H18" s="6" t="inlineStr"/>
      <c r="I18" s="5" t="inlineStr"/>
      <c r="J18" s="5" t="inlineStr">
        <is>
          <t>README.md</t>
        </is>
      </c>
    </row>
    <row r="19">
      <c r="A19" s="5" t="inlineStr">
        <is>
          <t>T-018</t>
        </is>
      </c>
      <c r="B19" s="5" t="inlineStr">
        <is>
          <t>Pruebas</t>
        </is>
      </c>
      <c r="C19" s="5" t="inlineStr">
        <is>
          <t>Recorrido manual como cliente y como proveedor (hoja Pruebas): eliminar cuenta, cancelar/rechazar, cerrar sesiones, verificación con video</t>
        </is>
      </c>
      <c r="D19" s="6" t="inlineStr">
        <is>
          <t>Alta</t>
        </is>
      </c>
      <c r="E19" s="6" t="inlineStr">
        <is>
          <t>Pendiente</t>
        </is>
      </c>
      <c r="F19" s="6" t="inlineStr">
        <is>
          <t>Dueño</t>
        </is>
      </c>
      <c r="G19" s="6" t="inlineStr"/>
      <c r="H19" s="6" t="inlineStr"/>
      <c r="I19" s="5" t="inlineStr">
        <is>
          <t>Los tests pasan, pero nadie los ha visto en pantalla</t>
        </is>
      </c>
      <c r="J19" s="5" t="inlineStr">
        <is>
          <t>hoja Pruebas</t>
        </is>
      </c>
    </row>
    <row r="20">
      <c r="A20" s="5" t="inlineStr">
        <is>
          <t>T-019</t>
        </is>
      </c>
      <c r="B20" s="5" t="inlineStr">
        <is>
          <t>Pruebas</t>
        </is>
      </c>
      <c r="C20" s="5" t="inlineStr">
        <is>
          <t>Probar un pago de punta a punta con Flow y con Mercado Pago en sandbox</t>
        </is>
      </c>
      <c r="D20" s="6" t="inlineStr">
        <is>
          <t>Alta</t>
        </is>
      </c>
      <c r="E20" s="6" t="inlineStr">
        <is>
          <t>Bloqueado</t>
        </is>
      </c>
      <c r="F20" s="6" t="inlineStr">
        <is>
          <t>Dueño</t>
        </is>
      </c>
      <c r="G20" s="6" t="inlineStr">
        <is>
          <t>Cuentas sandbox</t>
        </is>
      </c>
      <c r="H20" s="6" t="inlineStr"/>
      <c r="I20" s="5" t="inlineStr">
        <is>
          <t>Solo probados con mocks</t>
        </is>
      </c>
      <c r="J20" s="5" t="inlineStr">
        <is>
          <t>ESTADO_Y_PROXIMOS_PASOS.md</t>
        </is>
      </c>
    </row>
    <row r="21">
      <c r="A21" s="5" t="inlineStr">
        <is>
          <t>T-020</t>
        </is>
      </c>
      <c r="B21" s="5" t="inlineStr">
        <is>
          <t>Desarrollo</t>
        </is>
      </c>
      <c r="C21" s="5" t="inlineStr">
        <is>
          <t>Ajustar Flow y Mercado Pago según lo que falle en el sandbox real</t>
        </is>
      </c>
      <c r="D21" s="6" t="inlineStr">
        <is>
          <t>Alta</t>
        </is>
      </c>
      <c r="E21" s="6" t="inlineStr">
        <is>
          <t>Bloqueado</t>
        </is>
      </c>
      <c r="F21" s="6" t="inlineStr">
        <is>
          <t>Claude</t>
        </is>
      </c>
      <c r="G21" s="6" t="inlineStr">
        <is>
          <t>Cuentas sandbox</t>
        </is>
      </c>
      <c r="H21" s="6" t="inlineStr"/>
      <c r="I21" s="5" t="inlineStr">
        <is>
          <t>Mirar primero FlowService._firmar y crear_preferencia</t>
        </is>
      </c>
      <c r="J21" s="5" t="inlineStr">
        <is>
          <t>pagos.py</t>
        </is>
      </c>
    </row>
    <row r="22">
      <c r="A22" s="5" t="inlineStr">
        <is>
          <t>T-021</t>
        </is>
      </c>
      <c r="B22" s="5" t="inlineStr">
        <is>
          <t>Desarrollo</t>
        </is>
      </c>
      <c r="C22" s="5" t="inlineStr">
        <is>
          <t>Verificar el correo al registrarse (reusar CodigoSeguridad)</t>
        </is>
      </c>
      <c r="D22" s="6" t="inlineStr">
        <is>
          <t>Media</t>
        </is>
      </c>
      <c r="E22" s="6" t="inlineStr">
        <is>
          <t>Bloqueado</t>
        </is>
      </c>
      <c r="F22" s="6" t="inlineStr">
        <is>
          <t>Claude</t>
        </is>
      </c>
      <c r="G22" s="6" t="inlineStr">
        <is>
          <t>SMTP real</t>
        </is>
      </c>
      <c r="H22" s="6" t="inlineStr"/>
      <c r="I22" s="5" t="inlineStr"/>
      <c r="J22" s="5" t="inlineStr">
        <is>
          <t>BACKLOG.md</t>
        </is>
      </c>
    </row>
    <row r="23">
      <c r="A23" s="5" t="inlineStr">
        <is>
          <t>T-022</t>
        </is>
      </c>
      <c r="B23" s="5" t="inlineStr">
        <is>
          <t>Desarrollo</t>
        </is>
      </c>
      <c r="C23" s="5" t="inlineStr">
        <is>
          <t>Más avisos por correo: acceso nuevo a la cuenta, verificación por vencer</t>
        </is>
      </c>
      <c r="D23" s="6" t="inlineStr">
        <is>
          <t>Media</t>
        </is>
      </c>
      <c r="E23" s="6" t="inlineStr">
        <is>
          <t>Bloqueado</t>
        </is>
      </c>
      <c r="F23" s="6" t="inlineStr">
        <is>
          <t>Claude</t>
        </is>
      </c>
      <c r="G23" s="6" t="inlineStr">
        <is>
          <t>SMTP real</t>
        </is>
      </c>
      <c r="H23" s="6" t="inlineStr"/>
      <c r="I23" s="5" t="inlineStr"/>
      <c r="J23" s="5" t="inlineStr">
        <is>
          <t>docs/adr/0007</t>
        </is>
      </c>
    </row>
    <row r="24">
      <c r="A24" s="5" t="inlineStr">
        <is>
          <t>T-023</t>
        </is>
      </c>
      <c r="B24" s="5" t="inlineStr">
        <is>
          <t>Desarrollo</t>
        </is>
      </c>
      <c r="C24" s="5" t="inlineStr">
        <is>
          <t>Prueba real del dispositivo en la verificación nativa (llave que firma un desafío, o Play Integrity/App Attest)</t>
        </is>
      </c>
      <c r="D24" s="6" t="inlineStr">
        <is>
          <t>Media</t>
        </is>
      </c>
      <c r="E24" s="6" t="inlineStr">
        <is>
          <t>Pendiente</t>
        </is>
      </c>
      <c r="F24" s="6" t="inlineStr">
        <is>
          <t>Claude</t>
        </is>
      </c>
      <c r="G24" s="6" t="inlineStr">
        <is>
          <t>Decidir opción</t>
        </is>
      </c>
      <c r="H24" s="6" t="inlineStr"/>
      <c r="I24" s="5" t="inlineStr">
        <is>
          <t>Hoy solo reconfirma a quien ya tiene documento aprobado</t>
        </is>
      </c>
      <c r="J24" s="5" t="inlineStr">
        <is>
          <t>docs/adr/0006</t>
        </is>
      </c>
    </row>
    <row r="25">
      <c r="A25" s="5" t="inlineStr">
        <is>
          <t>T-024</t>
        </is>
      </c>
      <c r="B25" s="5" t="inlineStr">
        <is>
          <t>Desarrollo</t>
        </is>
      </c>
      <c r="C25" s="5" t="inlineStr">
        <is>
          <t>Ocultar del catálogo a proveedores con la verificación vencida (con aviso previo)</t>
        </is>
      </c>
      <c r="D25" s="6" t="inlineStr">
        <is>
          <t>Media</t>
        </is>
      </c>
      <c r="E25" s="6" t="inlineStr">
        <is>
          <t>Pendiente</t>
        </is>
      </c>
      <c r="F25" s="6" t="inlineStr">
        <is>
          <t>Claude</t>
        </is>
      </c>
      <c r="G25" s="6" t="inlineStr">
        <is>
          <t>Decisión de producto</t>
        </is>
      </c>
      <c r="H25" s="6" t="inlineStr"/>
      <c r="I25" s="5" t="inlineStr">
        <is>
          <t>Confirmar trabajos ya se bloquea</t>
        </is>
      </c>
      <c r="J25" s="5" t="inlineStr">
        <is>
          <t>docs/adr/0006</t>
        </is>
      </c>
    </row>
    <row r="26">
      <c r="A26" s="5" t="inlineStr">
        <is>
          <t>T-025</t>
        </is>
      </c>
      <c r="B26" s="5" t="inlineStr">
        <is>
          <t>Desarrollo</t>
        </is>
      </c>
      <c r="C26" s="5" t="inlineStr">
        <is>
          <t>Reembolsos automáticos por la API de cada pasarela, parciales y contracargos</t>
        </is>
      </c>
      <c r="D26" s="6" t="inlineStr">
        <is>
          <t>Media</t>
        </is>
      </c>
      <c r="E26" s="6" t="inlineStr">
        <is>
          <t>Pendiente</t>
        </is>
      </c>
      <c r="F26" s="6" t="inlineStr">
        <is>
          <t>Claude</t>
        </is>
      </c>
      <c r="G26" s="6" t="inlineStr">
        <is>
          <t>Pasarelas elegidas</t>
        </is>
      </c>
      <c r="H26" s="6" t="inlineStr"/>
      <c r="I26" s="5" t="inlineStr">
        <is>
          <t>Hoy se registran y se devuelven a mano</t>
        </is>
      </c>
      <c r="J26" s="5" t="inlineStr">
        <is>
          <t>PLAN_FLUJO_DE_DINERO.md</t>
        </is>
      </c>
    </row>
    <row r="27">
      <c r="A27" s="5" t="inlineStr">
        <is>
          <t>T-026</t>
        </is>
      </c>
      <c r="B27" s="5" t="inlineStr">
        <is>
          <t>Desarrollo</t>
        </is>
      </c>
      <c r="C27" s="5" t="inlineStr">
        <is>
          <t>Pagos al proveedor (payouts o split) y libro de movimientos</t>
        </is>
      </c>
      <c r="D27" s="6" t="inlineStr">
        <is>
          <t>Alta</t>
        </is>
      </c>
      <c r="E27" s="6" t="inlineStr">
        <is>
          <t>Pendiente</t>
        </is>
      </c>
      <c r="F27" s="6" t="inlineStr">
        <is>
          <t>Claude</t>
        </is>
      </c>
      <c r="G27" s="6" t="inlineStr">
        <is>
          <t>Decisión de recaudación + abogado</t>
        </is>
      </c>
      <c r="H27" s="6" t="inlineStr"/>
      <c r="I27" s="5" t="inlineStr"/>
      <c r="J27" s="5" t="inlineStr">
        <is>
          <t>PLAN_FLUJO_DE_DINERO.md</t>
        </is>
      </c>
    </row>
    <row r="28">
      <c r="A28" s="5" t="inlineStr">
        <is>
          <t>T-027</t>
        </is>
      </c>
      <c r="B28" s="5" t="inlineStr">
        <is>
          <t>Desarrollo</t>
        </is>
      </c>
      <c r="C28" s="5" t="inlineStr">
        <is>
          <t>Documentos tributarios (boleta/factura, notas de crédito)</t>
        </is>
      </c>
      <c r="D28" s="6" t="inlineStr">
        <is>
          <t>Media</t>
        </is>
      </c>
      <c r="E28" s="6" t="inlineStr">
        <is>
          <t>Pendiente</t>
        </is>
      </c>
      <c r="F28" s="6" t="inlineStr">
        <is>
          <t>Claude</t>
        </is>
      </c>
      <c r="G28" s="6" t="inlineStr">
        <is>
          <t>Contador</t>
        </is>
      </c>
      <c r="H28" s="6" t="inlineStr"/>
      <c r="I28" s="5" t="inlineStr"/>
      <c r="J28" s="5" t="inlineStr">
        <is>
          <t>PLAN_FLUJO_DE_DINERO.md</t>
        </is>
      </c>
    </row>
    <row r="29">
      <c r="A29" s="5" t="inlineStr">
        <is>
          <t>T-028</t>
        </is>
      </c>
      <c r="B29" s="5" t="inlineStr">
        <is>
          <t>Desarrollo</t>
        </is>
      </c>
      <c r="C29" s="5" t="inlineStr">
        <is>
          <t>Pedir código por correo también al cambiar correo/teléfono y al eliminar la cuenta</t>
        </is>
      </c>
      <c r="D29" s="6" t="inlineStr">
        <is>
          <t>Media</t>
        </is>
      </c>
      <c r="E29" s="6" t="inlineStr">
        <is>
          <t>Pendiente</t>
        </is>
      </c>
      <c r="F29" s="6" t="inlineStr">
        <is>
          <t>Claude</t>
        </is>
      </c>
      <c r="G29" s="6" t="inlineStr"/>
      <c r="H29" s="6" t="inlineStr"/>
      <c r="I29" s="5" t="inlineStr">
        <is>
          <t>El modelo CodigoSeguridad ya existe</t>
        </is>
      </c>
      <c r="J29" s="5" t="inlineStr">
        <is>
          <t>BACKLOG.md</t>
        </is>
      </c>
    </row>
    <row r="30">
      <c r="A30" s="5" t="inlineStr">
        <is>
          <t>T-029</t>
        </is>
      </c>
      <c r="B30" s="5" t="inlineStr">
        <is>
          <t>Desarrollo</t>
        </is>
      </c>
      <c r="C30" s="5" t="inlineStr">
        <is>
          <t>Retención reforzada de casos marcados ("legal hold") para evidencia</t>
        </is>
      </c>
      <c r="D30" s="6" t="inlineStr">
        <is>
          <t>Media</t>
        </is>
      </c>
      <c r="E30" s="6" t="inlineStr">
        <is>
          <t>Bloqueado</t>
        </is>
      </c>
      <c r="F30" s="6" t="inlineStr">
        <is>
          <t>Claude</t>
        </is>
      </c>
      <c r="G30" s="6" t="inlineStr">
        <is>
          <t>Abogado</t>
        </is>
      </c>
      <c r="H30" s="6" t="inlineStr"/>
      <c r="I30" s="5" t="inlineStr">
        <is>
          <t>Hoy un chat cerrado se borra a los 90 días</t>
        </is>
      </c>
      <c r="J30" s="5" t="inlineStr">
        <is>
          <t>docs/adr/0007</t>
        </is>
      </c>
    </row>
    <row r="31">
      <c r="A31" s="5" t="inlineStr">
        <is>
          <t>T-030</t>
        </is>
      </c>
      <c r="B31" s="5" t="inlineStr">
        <is>
          <t>Calidad</t>
        </is>
      </c>
      <c r="C31" s="5" t="inlineStr">
        <is>
          <t>Tests e2e de los flujos nuevos (cancelar/rechazar, eliminar cuenta, cerrar sesiones, reembolso, verificación con video)</t>
        </is>
      </c>
      <c r="D31" s="6" t="inlineStr">
        <is>
          <t>Media</t>
        </is>
      </c>
      <c r="E31" s="6" t="inlineStr">
        <is>
          <t>Pendiente</t>
        </is>
      </c>
      <c r="F31" s="6" t="inlineStr">
        <is>
          <t>Claude</t>
        </is>
      </c>
      <c r="G31" s="6" t="inlineStr"/>
      <c r="H31" s="6" t="inlineStr"/>
      <c r="I31" s="5" t="inlineStr">
        <is>
          <t>Cuidar de no romper los datos demo</t>
        </is>
      </c>
      <c r="J31" s="5" t="inlineStr">
        <is>
          <t>e2e/</t>
        </is>
      </c>
    </row>
    <row r="32">
      <c r="A32" s="5" t="inlineStr">
        <is>
          <t>T-031</t>
        </is>
      </c>
      <c r="B32" s="5" t="inlineStr">
        <is>
          <t>Calidad</t>
        </is>
      </c>
      <c r="C32" s="5" t="inlineStr">
        <is>
          <t>Deuda de lint del frontend (105 errores prefer-inject) y correr lint en el CI</t>
        </is>
      </c>
      <c r="D32" s="6" t="inlineStr">
        <is>
          <t>Baja</t>
        </is>
      </c>
      <c r="E32" s="6" t="inlineStr">
        <is>
          <t>Pendiente</t>
        </is>
      </c>
      <c r="F32" s="6" t="inlineStr">
        <is>
          <t>Claude</t>
        </is>
      </c>
      <c r="G32" s="6" t="inlineStr"/>
      <c r="H32" s="6" t="inlineStr"/>
      <c r="I32" s="5" t="inlineStr">
        <is>
          <t>Cambio mecánico, grande</t>
        </is>
      </c>
      <c r="J32" s="5" t="inlineStr">
        <is>
          <t>CLAUDE.md</t>
        </is>
      </c>
    </row>
    <row r="33">
      <c r="A33" s="5" t="inlineStr">
        <is>
          <t>T-032</t>
        </is>
      </c>
      <c r="B33" s="5" t="inlineStr">
        <is>
          <t>Calidad</t>
        </is>
      </c>
      <c r="C33" s="5" t="inlineStr">
        <is>
          <t>Geocodificar más comunas (hoy solo 9 de la RM)</t>
        </is>
      </c>
      <c r="D33" s="6" t="inlineStr">
        <is>
          <t>Baja</t>
        </is>
      </c>
      <c r="E33" s="6" t="inlineStr">
        <is>
          <t>Pendiente</t>
        </is>
      </c>
      <c r="F33" s="6" t="inlineStr">
        <is>
          <t>Claude</t>
        </is>
      </c>
      <c r="G33" s="6" t="inlineStr"/>
      <c r="H33" s="6" t="inlineStr"/>
      <c r="I33" s="5" t="inlineStr"/>
      <c r="J33" s="5" t="inlineStr">
        <is>
          <t>BACKLOG.md</t>
        </is>
      </c>
    </row>
    <row r="34">
      <c r="A34" s="5" t="inlineStr">
        <is>
          <t>T-033</t>
        </is>
      </c>
      <c r="B34" s="5" t="inlineStr">
        <is>
          <t>Producto</t>
        </is>
      </c>
      <c r="C34" s="5" t="inlineStr">
        <is>
          <t>Fintoc como medio de pago adicional (transferencias, llaves de test)</t>
        </is>
      </c>
      <c r="D34" s="6" t="inlineStr">
        <is>
          <t>Baja</t>
        </is>
      </c>
      <c r="E34" s="6" t="inlineStr">
        <is>
          <t>Pendiente</t>
        </is>
      </c>
      <c r="F34" s="6" t="inlineStr">
        <is>
          <t>Claude</t>
        </is>
      </c>
      <c r="G34" s="6" t="inlineStr"/>
      <c r="H34" s="6" t="inlineStr"/>
      <c r="I34" s="5" t="inlineStr">
        <is>
          <t>Evaluado, no integrado</t>
        </is>
      </c>
      <c r="J34" s="5" t="inlineStr">
        <is>
          <t>ESTADO_Y_PROXIMOS_PASOS.md</t>
        </is>
      </c>
    </row>
    <row r="35">
      <c r="A35" s="5" t="inlineStr">
        <is>
          <t>T-034</t>
        </is>
      </c>
      <c r="B35" s="5" t="inlineStr">
        <is>
          <t>Producto</t>
        </is>
      </c>
      <c r="C35" s="5" t="inlineStr">
        <is>
          <t>Mostrar el precio con la comisión incluida en el catálogo (hoy muestra el precio sin comisión)</t>
        </is>
      </c>
      <c r="D35" s="6" t="inlineStr">
        <is>
          <t>Baja</t>
        </is>
      </c>
      <c r="E35" s="6" t="inlineStr">
        <is>
          <t>Pendiente</t>
        </is>
      </c>
      <c r="F35" s="6" t="inlineStr">
        <is>
          <t>Claude</t>
        </is>
      </c>
      <c r="G35" s="6" t="inlineStr">
        <is>
          <t>Decisión del dueño</t>
        </is>
      </c>
      <c r="H35" s="6" t="inlineStr"/>
      <c r="I35" s="5" t="inlineStr"/>
      <c r="J35" s="5" t="inlineStr">
        <is>
          <t>ANALISIS_COMISION.md</t>
        </is>
      </c>
    </row>
    <row r="36">
      <c r="A36" s="5" t="inlineStr">
        <is>
          <t>T-035</t>
        </is>
      </c>
      <c r="B36" s="5" t="inlineStr">
        <is>
          <t>Corfo</t>
        </is>
      </c>
      <c r="C36" s="5" t="inlineStr">
        <is>
          <t>Elegir al beneficiario (persona natural) y acordar el reparto de la futura sociedad entre los tres antes de postular</t>
        </is>
      </c>
      <c r="D36" s="6" t="inlineStr">
        <is>
          <t>Alta</t>
        </is>
      </c>
      <c r="E36" s="6" t="inlineStr">
        <is>
          <t>Pendiente</t>
        </is>
      </c>
      <c r="F36" s="6" t="inlineStr">
        <is>
          <t>Dueño</t>
        </is>
      </c>
      <c r="G36" s="6" t="inlineStr"/>
      <c r="H36" s="6" t="inlineStr"/>
      <c r="I36" s="5" t="inlineStr">
        <is>
          <t>Si se aprueba hay que constituir la sociedad: el beneficiario debe tener participación mayoritaria y cada integrante al menos 5 %</t>
        </is>
      </c>
      <c r="J36" s="5" t="inlineStr">
        <is>
          <t>docs/corfo/README.md</t>
        </is>
      </c>
    </row>
    <row r="37">
      <c r="A37" s="5" t="inlineStr">
        <is>
          <t>T-036</t>
        </is>
      </c>
      <c r="B37" s="5" t="inlineStr">
        <is>
          <t>Corfo</t>
        </is>
      </c>
      <c r="C37" s="5" t="inlineStr">
        <is>
          <t>Buscar la Entidad Patrocinadora (nómina de Semilla Inicia de la región) y la red de mentores; preguntar a INACAP</t>
        </is>
      </c>
      <c r="D37" s="6" t="inlineStr">
        <is>
          <t>Alta</t>
        </is>
      </c>
      <c r="E37" s="6" t="inlineStr">
        <is>
          <t>Pendiente</t>
        </is>
      </c>
      <c r="F37" s="6" t="inlineStr">
        <is>
          <t>Dueño</t>
        </is>
      </c>
      <c r="G37" s="6" t="inlineStr"/>
      <c r="H37" s="6" t="inlineStr"/>
      <c r="I37" s="5" t="inlineStr">
        <is>
          <t>Ambas son obligatorias en las bases</t>
        </is>
      </c>
      <c r="J37" s="5" t="inlineStr">
        <is>
          <t>docs/corfo/README.md</t>
        </is>
      </c>
    </row>
    <row r="38">
      <c r="A38" s="5" t="inlineStr">
        <is>
          <t>T-037</t>
        </is>
      </c>
      <c r="B38" s="5" t="inlineStr">
        <is>
          <t>Corfo</t>
        </is>
      </c>
      <c r="C38" s="5" t="inlineStr">
        <is>
          <t>Estudio de competencia chilena y tamaño de mercado con fuentes citables (la tesis solo compara con plataformas extranjeras)</t>
        </is>
      </c>
      <c r="D38" s="6" t="inlineStr">
        <is>
          <t>Alta</t>
        </is>
      </c>
      <c r="E38" s="6" t="inlineStr">
        <is>
          <t>Pendiente</t>
        </is>
      </c>
      <c r="F38" s="6" t="inlineStr">
        <is>
          <t>Dueño</t>
        </is>
      </c>
      <c r="G38" s="6" t="inlineStr"/>
      <c r="H38" s="6" t="inlineStr"/>
      <c r="I38" s="5" t="inlineStr">
        <is>
          <t>Pesa en Innovación (40 %) y Escalabilidad (30 %)</t>
        </is>
      </c>
      <c r="J38" s="5" t="inlineStr">
        <is>
          <t>docs/corfo/DE_LA_TESIS_A_LA_POSTULACION.md</t>
        </is>
      </c>
    </row>
    <row r="39">
      <c r="A39" s="5" t="inlineStr">
        <is>
          <t>T-038</t>
        </is>
      </c>
      <c r="B39" s="5" t="inlineStr">
        <is>
          <t>Corfo</t>
        </is>
      </c>
      <c r="C39" s="5" t="inlineStr">
        <is>
          <t>Completar el borrador de postulación: equipo, horas, ODS, sostenibilidad, metas de piloto</t>
        </is>
      </c>
      <c r="D39" s="6" t="inlineStr">
        <is>
          <t>Alta</t>
        </is>
      </c>
      <c r="E39" s="6" t="inlineStr">
        <is>
          <t>Pendiente</t>
        </is>
      </c>
      <c r="F39" s="6" t="inlineStr">
        <is>
          <t>Dueño</t>
        </is>
      </c>
      <c r="G39" s="6" t="inlineStr"/>
      <c r="H39" s="6" t="inlineStr"/>
      <c r="I39" s="5" t="inlineStr">
        <is>
          <t>Claude puede ayudar a redactar con tus datos</t>
        </is>
      </c>
      <c r="J39" s="5" t="inlineStr">
        <is>
          <t>docs/corfo/BORRADOR_POSTULACION.md</t>
        </is>
      </c>
    </row>
    <row r="40">
      <c r="A40" s="5" t="inlineStr">
        <is>
          <t>T-039</t>
        </is>
      </c>
      <c r="B40" s="5" t="inlineStr">
        <is>
          <t>Corfo</t>
        </is>
      </c>
      <c r="C40" s="5" t="inlineStr">
        <is>
          <t>Grabar el video de máximo 40 segundos (alojado con fecha de carga) y probar que abre sin clave</t>
        </is>
      </c>
      <c r="D40" s="6" t="inlineStr">
        <is>
          <t>Alta</t>
        </is>
      </c>
      <c r="E40" s="6" t="inlineStr">
        <is>
          <t>Pendiente</t>
        </is>
      </c>
      <c r="F40" s="6" t="inlineStr">
        <is>
          <t>Dueño</t>
        </is>
      </c>
      <c r="G40" s="6" t="inlineStr"/>
      <c r="H40" s="6" t="inlineStr"/>
      <c r="I40" s="5" t="inlineStr">
        <is>
          <t>Si no abre, la postulación no se evalúa</t>
        </is>
      </c>
      <c r="J40" s="5" t="inlineStr">
        <is>
          <t>docs/corfo/BORRADOR_POSTULACION.md</t>
        </is>
      </c>
    </row>
    <row r="41">
      <c r="A41" s="5" t="inlineStr">
        <is>
          <t>T-040</t>
        </is>
      </c>
      <c r="B41" s="5" t="inlineStr">
        <is>
          <t>Corfo</t>
        </is>
      </c>
      <c r="C41" s="5" t="inlineStr">
        <is>
          <t>Vigilar la apertura de la próxima convocatoria de Semilla Inicia y leer las bases exactas de ese llamado</t>
        </is>
      </c>
      <c r="D41" s="6" t="inlineStr">
        <is>
          <t>Media</t>
        </is>
      </c>
      <c r="E41" s="6" t="inlineStr">
        <is>
          <t>Pendiente</t>
        </is>
      </c>
      <c r="F41" s="6" t="inlineStr">
        <is>
          <t>Dueño</t>
        </is>
      </c>
      <c r="G41" s="6" t="inlineStr"/>
      <c r="H41" s="6" t="inlineStr"/>
      <c r="I41" s="5" t="inlineStr">
        <is>
          <t>Las de 2026 ya cerraron; no hay una abierta hoy</t>
        </is>
      </c>
      <c r="J41" s="5" t="inlineStr">
        <is>
          <t>docs/corfo/README.md</t>
        </is>
      </c>
    </row>
    <row r="42">
      <c r="A42" s="5" t="inlineStr">
        <is>
          <t>T-041</t>
        </is>
      </c>
      <c r="B42" s="5" t="inlineStr">
        <is>
          <t>Corfo</t>
        </is>
      </c>
      <c r="C42" s="5" t="inlineStr">
        <is>
          <t>No cobrar dinero real ni constituir la sociedad antes de saber el resultado</t>
        </is>
      </c>
      <c r="D42" s="6" t="inlineStr">
        <is>
          <t>Media</t>
        </is>
      </c>
      <c r="E42" s="6" t="inlineStr">
        <is>
          <t>En curso</t>
        </is>
      </c>
      <c r="F42" s="6" t="inlineStr">
        <is>
          <t>Dueño</t>
        </is>
      </c>
      <c r="G42" s="6" t="inlineStr"/>
      <c r="H42" s="6" t="inlineStr"/>
      <c r="I42" s="5" t="inlineStr">
        <is>
          <t>Persona jurídica sin ventas; la primera venta es parte de la ejecución</t>
        </is>
      </c>
      <c r="J42" s="5" t="inlineStr">
        <is>
          <t>docs/corfo/README.md</t>
        </is>
      </c>
    </row>
    <row r="43">
      <c r="A43" s="5" t="inlineStr">
        <is>
          <t>T-042</t>
        </is>
      </c>
      <c r="B43" s="5" t="inlineStr">
        <is>
          <t>Legal</t>
        </is>
      </c>
      <c r="C43" s="5" t="inlineStr">
        <is>
          <t>Ley 21.719 (vigencia 1-dic-2026): ejecutar el plan de adecuación semana a semana</t>
        </is>
      </c>
      <c r="D43" s="6" t="inlineStr">
        <is>
          <t>Alta</t>
        </is>
      </c>
      <c r="E43" s="6" t="inlineStr">
        <is>
          <t>En curso</t>
        </is>
      </c>
      <c r="F43" s="6" t="inlineStr">
        <is>
          <t>Dueño</t>
        </is>
      </c>
      <c r="G43" s="6" t="inlineStr">
        <is>
          <t>Abogado</t>
        </is>
      </c>
      <c r="H43" s="6" t="inlineStr">
        <is>
          <t>2026-12-01</t>
        </is>
      </c>
      <c r="I43" s="5" t="inlineStr">
        <is>
          <t>Ver preguntas para el abogado en el plan</t>
        </is>
      </c>
      <c r="J43" s="5" t="inlineStr">
        <is>
          <t>docs/cumplimiento/PLAN_ADECUACION_LEY_21719.md</t>
        </is>
      </c>
    </row>
    <row r="44">
      <c r="A44" s="5" t="inlineStr">
        <is>
          <t>T-043</t>
        </is>
      </c>
      <c r="B44" s="5" t="inlineStr">
        <is>
          <t>Legal</t>
        </is>
      </c>
      <c r="C44" s="5" t="inlineStr">
        <is>
          <t>Contratos o DPA con los encargados y decisión sobre transferencias internacionales (EE. UU., Brasil)</t>
        </is>
      </c>
      <c r="D44" s="6" t="inlineStr">
        <is>
          <t>Alta</t>
        </is>
      </c>
      <c r="E44" s="6" t="inlineStr">
        <is>
          <t>Pendiente</t>
        </is>
      </c>
      <c r="F44" s="6" t="inlineStr">
        <is>
          <t>Dueño</t>
        </is>
      </c>
      <c r="G44" s="6" t="inlineStr">
        <is>
          <t>Abogado</t>
        </is>
      </c>
      <c r="H44" s="6" t="inlineStr"/>
      <c r="I44" s="5" t="inlineStr"/>
      <c r="J44" s="5" t="inlineStr">
        <is>
          <t>docs/cumplimiento/PLAN_ADECUACION_LEY_21719.md</t>
        </is>
      </c>
    </row>
    <row r="45">
      <c r="A45" s="5" t="inlineStr">
        <is>
          <t>T-044</t>
        </is>
      </c>
      <c r="B45" s="5" t="inlineStr">
        <is>
          <t>Legal</t>
        </is>
      </c>
      <c r="C45" s="5" t="inlineStr">
        <is>
          <t>Simulacro de brecha de seguridad y de solicitud de derechos; designar suplente</t>
        </is>
      </c>
      <c r="D45" s="6" t="inlineStr">
        <is>
          <t>Media</t>
        </is>
      </c>
      <c r="E45" s="6" t="inlineStr">
        <is>
          <t>Pendiente</t>
        </is>
      </c>
      <c r="F45" s="6" t="inlineStr">
        <is>
          <t>Dueño</t>
        </is>
      </c>
      <c r="G45" s="6" t="inlineStr"/>
      <c r="H45" s="6" t="inlineStr"/>
      <c r="I45" s="5" t="inlineStr"/>
      <c r="J45" s="5" t="inlineStr">
        <is>
          <t>docs/legal/protocolo-de-brechas.md</t>
        </is>
      </c>
    </row>
    <row r="46">
      <c r="A46" s="5" t="inlineStr">
        <is>
          <t>T-045</t>
        </is>
      </c>
      <c r="B46" s="5" t="inlineStr">
        <is>
          <t>Desarrollo</t>
        </is>
      </c>
      <c r="C46" s="5" t="inlineStr">
        <is>
          <t>Actualizar la EIPD y el registro de tratamientos con el video de verificación, Flow, Mercado Pago y los avisos por correo</t>
        </is>
      </c>
      <c r="D46" s="6" t="inlineStr">
        <is>
          <t>Alta</t>
        </is>
      </c>
      <c r="E46" s="6" t="inlineStr">
        <is>
          <t>Pendiente</t>
        </is>
      </c>
      <c r="F46" s="6" t="inlineStr">
        <is>
          <t>Claude</t>
        </is>
      </c>
      <c r="G46" s="6" t="inlineStr"/>
      <c r="H46" s="6" t="inlineStr"/>
      <c r="I46" s="5" t="inlineStr"/>
      <c r="J46" s="5" t="inlineStr">
        <is>
          <t>docs/cumplimiento/PLAN_ADECUACION_LEY_21719.md</t>
        </is>
      </c>
    </row>
    <row r="47">
      <c r="A47" s="5" t="inlineStr">
        <is>
          <t>T-046</t>
        </is>
      </c>
      <c r="B47" s="5" t="inlineStr">
        <is>
          <t>Desarrollo</t>
        </is>
      </c>
      <c r="C47" s="5" t="inlineStr">
        <is>
          <t>Armar la carta Gantt definitiva en Planner con fechas reales cuando se conozca la apertura</t>
        </is>
      </c>
      <c r="D47" s="6" t="inlineStr">
        <is>
          <t>Media</t>
        </is>
      </c>
      <c r="E47" s="6" t="inlineStr">
        <is>
          <t>Pendiente</t>
        </is>
      </c>
      <c r="F47" s="6" t="inlineStr">
        <is>
          <t>Dueño</t>
        </is>
      </c>
      <c r="G47" s="6" t="inlineStr">
        <is>
          <t>Convocatoria abierta</t>
        </is>
      </c>
      <c r="H47" s="6" t="inlineStr"/>
      <c r="I47" s="5" t="inlineStr">
        <is>
          <t>Hoja Gantt del Excel como base</t>
        </is>
      </c>
      <c r="J47" s="5" t="inlineStr">
        <is>
          <t>hoja Gantt</t>
        </is>
      </c>
    </row>
    <row r="48">
      <c r="A48" s="5" t="inlineStr">
        <is>
          <t>T-047</t>
        </is>
      </c>
      <c r="B48" s="5" t="inlineStr">
        <is>
          <t>Hecho</t>
        </is>
      </c>
      <c r="C48" s="5" t="inlineStr">
        <is>
          <t>Corregir hallazgos de la revisión externa (Webpay doble confirmación, sesiones, cancelar/rechazar, eliminación con espera de 15 días, expiración de solicitudes)</t>
        </is>
      </c>
      <c r="D48" s="6" t="inlineStr">
        <is>
          <t>Alta</t>
        </is>
      </c>
      <c r="E48" s="6" t="inlineStr">
        <is>
          <t>Hecho</t>
        </is>
      </c>
      <c r="F48" s="6" t="inlineStr">
        <is>
          <t>Claude</t>
        </is>
      </c>
      <c r="G48" s="6" t="inlineStr"/>
      <c r="H48" s="6" t="inlineStr">
        <is>
          <t>2026-10-15</t>
        </is>
      </c>
      <c r="I48" s="5" t="inlineStr"/>
      <c r="J48" s="5" t="inlineStr">
        <is>
          <t>plan-ajustes.md</t>
        </is>
      </c>
    </row>
    <row r="49">
      <c r="A49" s="5" t="inlineStr">
        <is>
          <t>T-048</t>
        </is>
      </c>
      <c r="B49" s="5" t="inlineStr">
        <is>
          <t>Hecho</t>
        </is>
      </c>
      <c r="C49" s="5" t="inlineStr">
        <is>
          <t>Invalidar access tokens al cambiar la clave o eliminar la cuenta; cerrar sesión en todos los dispositivos con código por correo</t>
        </is>
      </c>
      <c r="D49" s="6" t="inlineStr">
        <is>
          <t>Alta</t>
        </is>
      </c>
      <c r="E49" s="6" t="inlineStr">
        <is>
          <t>Hecho</t>
        </is>
      </c>
      <c r="F49" s="6" t="inlineStr">
        <is>
          <t>Claude</t>
        </is>
      </c>
      <c r="G49" s="6" t="inlineStr"/>
      <c r="H49" s="6" t="inlineStr">
        <is>
          <t>2026-10-16</t>
        </is>
      </c>
      <c r="I49" s="5" t="inlineStr"/>
      <c r="J49" s="5" t="inlineStr">
        <is>
          <t>ESTADO_Y_PROXIMOS_PASOS.md</t>
        </is>
      </c>
    </row>
    <row r="50">
      <c r="A50" s="5" t="inlineStr">
        <is>
          <t>T-049</t>
        </is>
      </c>
      <c r="B50" s="5" t="inlineStr">
        <is>
          <t>Hecho</t>
        </is>
      </c>
      <c r="C50" s="5" t="inlineStr">
        <is>
          <t>Flow y Mercado Pago como medios de pago (código, probado con mocks)</t>
        </is>
      </c>
      <c r="D50" s="6" t="inlineStr">
        <is>
          <t>Alta</t>
        </is>
      </c>
      <c r="E50" s="6" t="inlineStr">
        <is>
          <t>Hecho</t>
        </is>
      </c>
      <c r="F50" s="6" t="inlineStr">
        <is>
          <t>Claude</t>
        </is>
      </c>
      <c r="G50" s="6" t="inlineStr"/>
      <c r="H50" s="6" t="inlineStr">
        <is>
          <t>2026-10-16</t>
        </is>
      </c>
      <c r="I50" s="5" t="inlineStr">
        <is>
          <t>Falta probar en sandbox real</t>
        </is>
      </c>
      <c r="J50" s="5" t="inlineStr">
        <is>
          <t>ESTADO_Y_PROXIMOS_PASOS.md</t>
        </is>
      </c>
    </row>
    <row r="51">
      <c r="A51" s="5" t="inlineStr">
        <is>
          <t>T-050</t>
        </is>
      </c>
      <c r="B51" s="5" t="inlineStr">
        <is>
          <t>Hecho</t>
        </is>
      </c>
      <c r="C51" s="5" t="inlineStr">
        <is>
          <t>Registro de reembolsos, más avisos por correo, chequeos de claves inseguras</t>
        </is>
      </c>
      <c r="D51" s="6" t="inlineStr">
        <is>
          <t>Media</t>
        </is>
      </c>
      <c r="E51" s="6" t="inlineStr">
        <is>
          <t>Hecho</t>
        </is>
      </c>
      <c r="F51" s="6" t="inlineStr">
        <is>
          <t>Claude</t>
        </is>
      </c>
      <c r="G51" s="6" t="inlineStr"/>
      <c r="H51" s="6" t="inlineStr">
        <is>
          <t>2026-10-16</t>
        </is>
      </c>
      <c r="I51" s="5" t="inlineStr"/>
      <c r="J51" s="5" t="inlineStr">
        <is>
          <t>ESTADO_Y_PROXIMOS_PASOS.md</t>
        </is>
      </c>
    </row>
    <row r="52">
      <c r="A52" s="5" t="inlineStr">
        <is>
          <t>T-051</t>
        </is>
      </c>
      <c r="B52" s="5" t="inlineStr">
        <is>
          <t>Hecho</t>
        </is>
      </c>
      <c r="C52" s="5" t="inlineStr">
        <is>
          <t>Comisión por tramos que paga el cliente encima del precio + análisis de costos de pasarelas</t>
        </is>
      </c>
      <c r="D52" s="6" t="inlineStr">
        <is>
          <t>Alta</t>
        </is>
      </c>
      <c r="E52" s="6" t="inlineStr">
        <is>
          <t>Hecho</t>
        </is>
      </c>
      <c r="F52" s="6" t="inlineStr">
        <is>
          <t>Claude</t>
        </is>
      </c>
      <c r="G52" s="6" t="inlineStr"/>
      <c r="H52" s="6" t="inlineStr">
        <is>
          <t>2026-10-16</t>
        </is>
      </c>
      <c r="I52" s="5" t="inlineStr"/>
      <c r="J52" s="5" t="inlineStr">
        <is>
          <t>ANALISIS_COMISION.md</t>
        </is>
      </c>
    </row>
    <row r="53">
      <c r="A53" s="5" t="inlineStr">
        <is>
          <t>T-052</t>
        </is>
      </c>
      <c r="B53" s="5" t="inlineStr">
        <is>
          <t>Hecho</t>
        </is>
      </c>
      <c r="C53" s="5" t="inlineStr">
        <is>
          <t>Guía de postulación a Corfo con las bases oficiales (Semilla Inicia), borrador de postulación y puente tesis → postulación; plan de adecuación a la Ley 21.719</t>
        </is>
      </c>
      <c r="D53" s="6" t="inlineStr">
        <is>
          <t>Alta</t>
        </is>
      </c>
      <c r="E53" s="6" t="inlineStr">
        <is>
          <t>Hecho</t>
        </is>
      </c>
      <c r="F53" s="6" t="inlineStr">
        <is>
          <t>Claude</t>
        </is>
      </c>
      <c r="G53" s="6" t="inlineStr"/>
      <c r="H53" s="6" t="inlineStr">
        <is>
          <t>2026-10-16</t>
        </is>
      </c>
      <c r="I53" s="5" t="inlineStr">
        <is>
          <t>Borradores a completar con tus datos</t>
        </is>
      </c>
      <c r="J53" s="5" t="inlineStr">
        <is>
          <t>docs/corfo/README.md</t>
        </is>
      </c>
    </row>
    <row r="54">
      <c r="A54" s="5" t="inlineStr">
        <is>
          <t>T-053</t>
        </is>
      </c>
      <c r="B54" s="5" t="inlineStr">
        <is>
          <t>Hecho</t>
        </is>
      </c>
      <c r="C54" s="5" t="inlineStr">
        <is>
          <t>Verificación sin biometría con video + cédula revisada por un moderador (el video se borra al resolver)</t>
        </is>
      </c>
      <c r="D54" s="6" t="inlineStr">
        <is>
          <t>Alta</t>
        </is>
      </c>
      <c r="E54" s="6" t="inlineStr">
        <is>
          <t>Hecho</t>
        </is>
      </c>
      <c r="F54" s="6" t="inlineStr">
        <is>
          <t>Claude</t>
        </is>
      </c>
      <c r="G54" s="6" t="inlineStr"/>
      <c r="H54" s="6" t="inlineStr">
        <is>
          <t>2026-10-16</t>
        </is>
      </c>
      <c r="I54" s="5" t="inlineStr"/>
      <c r="J54" s="5" t="inlineStr">
        <is>
          <t>docs/adr/0006</t>
        </is>
      </c>
    </row>
  </sheetData>
  <autoFilter ref="A1:J54"/>
  <conditionalFormatting sqref="A2:J154">
    <cfRule type="expression" priority="1" dxfId="0">
      <formula>$E2="Hecho"</formula>
    </cfRule>
    <cfRule type="expression" priority="2" dxfId="1">
      <formula>$E2="Bloqueado"</formula>
    </cfRule>
    <cfRule type="expression" priority="3" dxfId="2">
      <formula>$E2="En curso"</formula>
    </cfRule>
  </conditionalFormatting>
  <dataValidations count="3">
    <dataValidation sqref="D2:D154" showDropDown="0" showInputMessage="0" showErrorMessage="0" allowBlank="1" type="list">
      <formula1>"Alta,Media,Baja"</formula1>
    </dataValidation>
    <dataValidation sqref="E2:E154" showDropDown="0" showInputMessage="0" showErrorMessage="0" allowBlank="1" type="list">
      <formula1>"Pendiente,En curso,Bloqueado,Hecho"</formula1>
    </dataValidation>
    <dataValidation sqref="F2:F154" showDropDown="0" showInputMessage="0" showErrorMessage="0" allowBlank="1" type="list">
      <formula1>"Dueño,Claude,Tercero"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6"/>
  <sheetViews>
    <sheetView workbookViewId="0">
      <pane ySplit="1" topLeftCell="A2" activePane="bottomLeft" state="frozen"/>
      <selection pane="bottomLeft" activeCell="A1" sqref="A1"/>
    </sheetView>
  </sheetViews>
  <sheetFormatPr baseColWidth="8" defaultRowHeight="15"/>
  <cols>
    <col width="70" customWidth="1" min="1" max="1"/>
    <col width="18" customWidth="1" min="2" max="2"/>
    <col width="14" customWidth="1" min="3" max="3"/>
    <col width="12" customWidth="1" min="4" max="4"/>
    <col width="14" customWidth="1" min="5" max="5"/>
    <col width="14" customWidth="1" min="6" max="6"/>
    <col width="50" customWidth="1" min="7" max="7"/>
  </cols>
  <sheetData>
    <row r="1">
      <c r="A1" s="7" t="inlineStr">
        <is>
          <t>Título</t>
        </is>
      </c>
      <c r="B1" s="7" t="inlineStr">
        <is>
          <t>Bucket</t>
        </is>
      </c>
      <c r="C1" s="7" t="inlineStr">
        <is>
          <t>Progreso</t>
        </is>
      </c>
      <c r="D1" s="7" t="inlineStr">
        <is>
          <t>Prioridad</t>
        </is>
      </c>
      <c r="E1" s="7" t="inlineStr">
        <is>
          <t>Fecha límite</t>
        </is>
      </c>
      <c r="F1" s="7" t="inlineStr">
        <is>
          <t>Asignado a</t>
        </is>
      </c>
      <c r="G1" s="7" t="inlineStr">
        <is>
          <t>Notas</t>
        </is>
      </c>
    </row>
    <row r="2">
      <c r="A2" s="5">
        <f>Tareas!C2</f>
        <v/>
      </c>
      <c r="B2" s="5">
        <f>Tareas!B2</f>
        <v/>
      </c>
      <c r="C2" s="5">
        <f>IF(Tareas!E2="Hecho","Completada",IF(Tareas!E2="En curso","En curso","No iniciada"))</f>
        <v/>
      </c>
      <c r="D2" s="5">
        <f>IF(Tareas!D2="Alta","Importante",IF(Tareas!D2="Media","Media","Baja"))</f>
        <v/>
      </c>
      <c r="E2" s="5">
        <f>IF(Tareas!H2="","",Tareas!H2)</f>
        <v/>
      </c>
      <c r="F2" s="5">
        <f>Tareas!F2</f>
        <v/>
      </c>
      <c r="G2" s="5">
        <f>Tareas!I2</f>
        <v/>
      </c>
    </row>
    <row r="3">
      <c r="A3" s="5">
        <f>Tareas!C3</f>
        <v/>
      </c>
      <c r="B3" s="5">
        <f>Tareas!B3</f>
        <v/>
      </c>
      <c r="C3" s="5">
        <f>IF(Tareas!E3="Hecho","Completada",IF(Tareas!E3="En curso","En curso","No iniciada"))</f>
        <v/>
      </c>
      <c r="D3" s="5">
        <f>IF(Tareas!D3="Alta","Importante",IF(Tareas!D3="Media","Media","Baja"))</f>
        <v/>
      </c>
      <c r="E3" s="5">
        <f>IF(Tareas!H3="","",Tareas!H3)</f>
        <v/>
      </c>
      <c r="F3" s="5">
        <f>Tareas!F3</f>
        <v/>
      </c>
      <c r="G3" s="5">
        <f>Tareas!I3</f>
        <v/>
      </c>
    </row>
    <row r="4">
      <c r="A4" s="5">
        <f>Tareas!C4</f>
        <v/>
      </c>
      <c r="B4" s="5">
        <f>Tareas!B4</f>
        <v/>
      </c>
      <c r="C4" s="5">
        <f>IF(Tareas!E4="Hecho","Completada",IF(Tareas!E4="En curso","En curso","No iniciada"))</f>
        <v/>
      </c>
      <c r="D4" s="5">
        <f>IF(Tareas!D4="Alta","Importante",IF(Tareas!D4="Media","Media","Baja"))</f>
        <v/>
      </c>
      <c r="E4" s="5">
        <f>IF(Tareas!H4="","",Tareas!H4)</f>
        <v/>
      </c>
      <c r="F4" s="5">
        <f>Tareas!F4</f>
        <v/>
      </c>
      <c r="G4" s="5">
        <f>Tareas!I4</f>
        <v/>
      </c>
    </row>
    <row r="5">
      <c r="A5" s="5">
        <f>Tareas!C5</f>
        <v/>
      </c>
      <c r="B5" s="5">
        <f>Tareas!B5</f>
        <v/>
      </c>
      <c r="C5" s="5">
        <f>IF(Tareas!E5="Hecho","Completada",IF(Tareas!E5="En curso","En curso","No iniciada"))</f>
        <v/>
      </c>
      <c r="D5" s="5">
        <f>IF(Tareas!D5="Alta","Importante",IF(Tareas!D5="Media","Media","Baja"))</f>
        <v/>
      </c>
      <c r="E5" s="5">
        <f>IF(Tareas!H5="","",Tareas!H5)</f>
        <v/>
      </c>
      <c r="F5" s="5">
        <f>Tareas!F5</f>
        <v/>
      </c>
      <c r="G5" s="5">
        <f>Tareas!I5</f>
        <v/>
      </c>
    </row>
    <row r="6">
      <c r="A6" s="5">
        <f>Tareas!C6</f>
        <v/>
      </c>
      <c r="B6" s="5">
        <f>Tareas!B6</f>
        <v/>
      </c>
      <c r="C6" s="5">
        <f>IF(Tareas!E6="Hecho","Completada",IF(Tareas!E6="En curso","En curso","No iniciada"))</f>
        <v/>
      </c>
      <c r="D6" s="5">
        <f>IF(Tareas!D6="Alta","Importante",IF(Tareas!D6="Media","Media","Baja"))</f>
        <v/>
      </c>
      <c r="E6" s="5">
        <f>IF(Tareas!H6="","",Tareas!H6)</f>
        <v/>
      </c>
      <c r="F6" s="5">
        <f>Tareas!F6</f>
        <v/>
      </c>
      <c r="G6" s="5">
        <f>Tareas!I6</f>
        <v/>
      </c>
    </row>
    <row r="7">
      <c r="A7" s="5">
        <f>Tareas!C7</f>
        <v/>
      </c>
      <c r="B7" s="5">
        <f>Tareas!B7</f>
        <v/>
      </c>
      <c r="C7" s="5">
        <f>IF(Tareas!E7="Hecho","Completada",IF(Tareas!E7="En curso","En curso","No iniciada"))</f>
        <v/>
      </c>
      <c r="D7" s="5">
        <f>IF(Tareas!D7="Alta","Importante",IF(Tareas!D7="Media","Media","Baja"))</f>
        <v/>
      </c>
      <c r="E7" s="5">
        <f>IF(Tareas!H7="","",Tareas!H7)</f>
        <v/>
      </c>
      <c r="F7" s="5">
        <f>Tareas!F7</f>
        <v/>
      </c>
      <c r="G7" s="5">
        <f>Tareas!I7</f>
        <v/>
      </c>
    </row>
    <row r="8">
      <c r="A8" s="5">
        <f>Tareas!C8</f>
        <v/>
      </c>
      <c r="B8" s="5">
        <f>Tareas!B8</f>
        <v/>
      </c>
      <c r="C8" s="5">
        <f>IF(Tareas!E8="Hecho","Completada",IF(Tareas!E8="En curso","En curso","No iniciada"))</f>
        <v/>
      </c>
      <c r="D8" s="5">
        <f>IF(Tareas!D8="Alta","Importante",IF(Tareas!D8="Media","Media","Baja"))</f>
        <v/>
      </c>
      <c r="E8" s="5">
        <f>IF(Tareas!H8="","",Tareas!H8)</f>
        <v/>
      </c>
      <c r="F8" s="5">
        <f>Tareas!F8</f>
        <v/>
      </c>
      <c r="G8" s="5">
        <f>Tareas!I8</f>
        <v/>
      </c>
    </row>
    <row r="9">
      <c r="A9" s="5">
        <f>Tareas!C9</f>
        <v/>
      </c>
      <c r="B9" s="5">
        <f>Tareas!B9</f>
        <v/>
      </c>
      <c r="C9" s="5">
        <f>IF(Tareas!E9="Hecho","Completada",IF(Tareas!E9="En curso","En curso","No iniciada"))</f>
        <v/>
      </c>
      <c r="D9" s="5">
        <f>IF(Tareas!D9="Alta","Importante",IF(Tareas!D9="Media","Media","Baja"))</f>
        <v/>
      </c>
      <c r="E9" s="5">
        <f>IF(Tareas!H9="","",Tareas!H9)</f>
        <v/>
      </c>
      <c r="F9" s="5">
        <f>Tareas!F9</f>
        <v/>
      </c>
      <c r="G9" s="5">
        <f>Tareas!I9</f>
        <v/>
      </c>
    </row>
    <row r="10">
      <c r="A10" s="5">
        <f>Tareas!C10</f>
        <v/>
      </c>
      <c r="B10" s="5">
        <f>Tareas!B10</f>
        <v/>
      </c>
      <c r="C10" s="5">
        <f>IF(Tareas!E10="Hecho","Completada",IF(Tareas!E10="En curso","En curso","No iniciada"))</f>
        <v/>
      </c>
      <c r="D10" s="5">
        <f>IF(Tareas!D10="Alta","Importante",IF(Tareas!D10="Media","Media","Baja"))</f>
        <v/>
      </c>
      <c r="E10" s="5">
        <f>IF(Tareas!H10="","",Tareas!H10)</f>
        <v/>
      </c>
      <c r="F10" s="5">
        <f>Tareas!F10</f>
        <v/>
      </c>
      <c r="G10" s="5">
        <f>Tareas!I10</f>
        <v/>
      </c>
    </row>
    <row r="11">
      <c r="A11" s="5">
        <f>Tareas!C11</f>
        <v/>
      </c>
      <c r="B11" s="5">
        <f>Tareas!B11</f>
        <v/>
      </c>
      <c r="C11" s="5">
        <f>IF(Tareas!E11="Hecho","Completada",IF(Tareas!E11="En curso","En curso","No iniciada"))</f>
        <v/>
      </c>
      <c r="D11" s="5">
        <f>IF(Tareas!D11="Alta","Importante",IF(Tareas!D11="Media","Media","Baja"))</f>
        <v/>
      </c>
      <c r="E11" s="5">
        <f>IF(Tareas!H11="","",Tareas!H11)</f>
        <v/>
      </c>
      <c r="F11" s="5">
        <f>Tareas!F11</f>
        <v/>
      </c>
      <c r="G11" s="5">
        <f>Tareas!I11</f>
        <v/>
      </c>
    </row>
    <row r="12">
      <c r="A12" s="5">
        <f>Tareas!C12</f>
        <v/>
      </c>
      <c r="B12" s="5">
        <f>Tareas!B12</f>
        <v/>
      </c>
      <c r="C12" s="5">
        <f>IF(Tareas!E12="Hecho","Completada",IF(Tareas!E12="En curso","En curso","No iniciada"))</f>
        <v/>
      </c>
      <c r="D12" s="5">
        <f>IF(Tareas!D12="Alta","Importante",IF(Tareas!D12="Media","Media","Baja"))</f>
        <v/>
      </c>
      <c r="E12" s="5">
        <f>IF(Tareas!H12="","",Tareas!H12)</f>
        <v/>
      </c>
      <c r="F12" s="5">
        <f>Tareas!F12</f>
        <v/>
      </c>
      <c r="G12" s="5">
        <f>Tareas!I12</f>
        <v/>
      </c>
    </row>
    <row r="13">
      <c r="A13" s="5">
        <f>Tareas!C13</f>
        <v/>
      </c>
      <c r="B13" s="5">
        <f>Tareas!B13</f>
        <v/>
      </c>
      <c r="C13" s="5">
        <f>IF(Tareas!E13="Hecho","Completada",IF(Tareas!E13="En curso","En curso","No iniciada"))</f>
        <v/>
      </c>
      <c r="D13" s="5">
        <f>IF(Tareas!D13="Alta","Importante",IF(Tareas!D13="Media","Media","Baja"))</f>
        <v/>
      </c>
      <c r="E13" s="5">
        <f>IF(Tareas!H13="","",Tareas!H13)</f>
        <v/>
      </c>
      <c r="F13" s="5">
        <f>Tareas!F13</f>
        <v/>
      </c>
      <c r="G13" s="5">
        <f>Tareas!I13</f>
        <v/>
      </c>
    </row>
    <row r="14">
      <c r="A14" s="5">
        <f>Tareas!C14</f>
        <v/>
      </c>
      <c r="B14" s="5">
        <f>Tareas!B14</f>
        <v/>
      </c>
      <c r="C14" s="5">
        <f>IF(Tareas!E14="Hecho","Completada",IF(Tareas!E14="En curso","En curso","No iniciada"))</f>
        <v/>
      </c>
      <c r="D14" s="5">
        <f>IF(Tareas!D14="Alta","Importante",IF(Tareas!D14="Media","Media","Baja"))</f>
        <v/>
      </c>
      <c r="E14" s="5">
        <f>IF(Tareas!H14="","",Tareas!H14)</f>
        <v/>
      </c>
      <c r="F14" s="5">
        <f>Tareas!F14</f>
        <v/>
      </c>
      <c r="G14" s="5">
        <f>Tareas!I14</f>
        <v/>
      </c>
    </row>
    <row r="15">
      <c r="A15" s="5">
        <f>Tareas!C15</f>
        <v/>
      </c>
      <c r="B15" s="5">
        <f>Tareas!B15</f>
        <v/>
      </c>
      <c r="C15" s="5">
        <f>IF(Tareas!E15="Hecho","Completada",IF(Tareas!E15="En curso","En curso","No iniciada"))</f>
        <v/>
      </c>
      <c r="D15" s="5">
        <f>IF(Tareas!D15="Alta","Importante",IF(Tareas!D15="Media","Media","Baja"))</f>
        <v/>
      </c>
      <c r="E15" s="5">
        <f>IF(Tareas!H15="","",Tareas!H15)</f>
        <v/>
      </c>
      <c r="F15" s="5">
        <f>Tareas!F15</f>
        <v/>
      </c>
      <c r="G15" s="5">
        <f>Tareas!I15</f>
        <v/>
      </c>
    </row>
    <row r="16">
      <c r="A16" s="5">
        <f>Tareas!C16</f>
        <v/>
      </c>
      <c r="B16" s="5">
        <f>Tareas!B16</f>
        <v/>
      </c>
      <c r="C16" s="5">
        <f>IF(Tareas!E16="Hecho","Completada",IF(Tareas!E16="En curso","En curso","No iniciada"))</f>
        <v/>
      </c>
      <c r="D16" s="5">
        <f>IF(Tareas!D16="Alta","Importante",IF(Tareas!D16="Media","Media","Baja"))</f>
        <v/>
      </c>
      <c r="E16" s="5">
        <f>IF(Tareas!H16="","",Tareas!H16)</f>
        <v/>
      </c>
      <c r="F16" s="5">
        <f>Tareas!F16</f>
        <v/>
      </c>
      <c r="G16" s="5">
        <f>Tareas!I16</f>
        <v/>
      </c>
    </row>
    <row r="17">
      <c r="A17" s="5">
        <f>Tareas!C17</f>
        <v/>
      </c>
      <c r="B17" s="5">
        <f>Tareas!B17</f>
        <v/>
      </c>
      <c r="C17" s="5">
        <f>IF(Tareas!E17="Hecho","Completada",IF(Tareas!E17="En curso","En curso","No iniciada"))</f>
        <v/>
      </c>
      <c r="D17" s="5">
        <f>IF(Tareas!D17="Alta","Importante",IF(Tareas!D17="Media","Media","Baja"))</f>
        <v/>
      </c>
      <c r="E17" s="5">
        <f>IF(Tareas!H17="","",Tareas!H17)</f>
        <v/>
      </c>
      <c r="F17" s="5">
        <f>Tareas!F17</f>
        <v/>
      </c>
      <c r="G17" s="5">
        <f>Tareas!I17</f>
        <v/>
      </c>
    </row>
    <row r="18">
      <c r="A18" s="5">
        <f>Tareas!C18</f>
        <v/>
      </c>
      <c r="B18" s="5">
        <f>Tareas!B18</f>
        <v/>
      </c>
      <c r="C18" s="5">
        <f>IF(Tareas!E18="Hecho","Completada",IF(Tareas!E18="En curso","En curso","No iniciada"))</f>
        <v/>
      </c>
      <c r="D18" s="5">
        <f>IF(Tareas!D18="Alta","Importante",IF(Tareas!D18="Media","Media","Baja"))</f>
        <v/>
      </c>
      <c r="E18" s="5">
        <f>IF(Tareas!H18="","",Tareas!H18)</f>
        <v/>
      </c>
      <c r="F18" s="5">
        <f>Tareas!F18</f>
        <v/>
      </c>
      <c r="G18" s="5">
        <f>Tareas!I18</f>
        <v/>
      </c>
    </row>
    <row r="19">
      <c r="A19" s="5">
        <f>Tareas!C19</f>
        <v/>
      </c>
      <c r="B19" s="5">
        <f>Tareas!B19</f>
        <v/>
      </c>
      <c r="C19" s="5">
        <f>IF(Tareas!E19="Hecho","Completada",IF(Tareas!E19="En curso","En curso","No iniciada"))</f>
        <v/>
      </c>
      <c r="D19" s="5">
        <f>IF(Tareas!D19="Alta","Importante",IF(Tareas!D19="Media","Media","Baja"))</f>
        <v/>
      </c>
      <c r="E19" s="5">
        <f>IF(Tareas!H19="","",Tareas!H19)</f>
        <v/>
      </c>
      <c r="F19" s="5">
        <f>Tareas!F19</f>
        <v/>
      </c>
      <c r="G19" s="5">
        <f>Tareas!I19</f>
        <v/>
      </c>
    </row>
    <row r="20">
      <c r="A20" s="5">
        <f>Tareas!C20</f>
        <v/>
      </c>
      <c r="B20" s="5">
        <f>Tareas!B20</f>
        <v/>
      </c>
      <c r="C20" s="5">
        <f>IF(Tareas!E20="Hecho","Completada",IF(Tareas!E20="En curso","En curso","No iniciada"))</f>
        <v/>
      </c>
      <c r="D20" s="5">
        <f>IF(Tareas!D20="Alta","Importante",IF(Tareas!D20="Media","Media","Baja"))</f>
        <v/>
      </c>
      <c r="E20" s="5">
        <f>IF(Tareas!H20="","",Tareas!H20)</f>
        <v/>
      </c>
      <c r="F20" s="5">
        <f>Tareas!F20</f>
        <v/>
      </c>
      <c r="G20" s="5">
        <f>Tareas!I20</f>
        <v/>
      </c>
    </row>
    <row r="21">
      <c r="A21" s="5">
        <f>Tareas!C21</f>
        <v/>
      </c>
      <c r="B21" s="5">
        <f>Tareas!B21</f>
        <v/>
      </c>
      <c r="C21" s="5">
        <f>IF(Tareas!E21="Hecho","Completada",IF(Tareas!E21="En curso","En curso","No iniciada"))</f>
        <v/>
      </c>
      <c r="D21" s="5">
        <f>IF(Tareas!D21="Alta","Importante",IF(Tareas!D21="Media","Media","Baja"))</f>
        <v/>
      </c>
      <c r="E21" s="5">
        <f>IF(Tareas!H21="","",Tareas!H21)</f>
        <v/>
      </c>
      <c r="F21" s="5">
        <f>Tareas!F21</f>
        <v/>
      </c>
      <c r="G21" s="5">
        <f>Tareas!I21</f>
        <v/>
      </c>
    </row>
    <row r="22">
      <c r="A22" s="5">
        <f>Tareas!C22</f>
        <v/>
      </c>
      <c r="B22" s="5">
        <f>Tareas!B22</f>
        <v/>
      </c>
      <c r="C22" s="5">
        <f>IF(Tareas!E22="Hecho","Completada",IF(Tareas!E22="En curso","En curso","No iniciada"))</f>
        <v/>
      </c>
      <c r="D22" s="5">
        <f>IF(Tareas!D22="Alta","Importante",IF(Tareas!D22="Media","Media","Baja"))</f>
        <v/>
      </c>
      <c r="E22" s="5">
        <f>IF(Tareas!H22="","",Tareas!H22)</f>
        <v/>
      </c>
      <c r="F22" s="5">
        <f>Tareas!F22</f>
        <v/>
      </c>
      <c r="G22" s="5">
        <f>Tareas!I22</f>
        <v/>
      </c>
    </row>
    <row r="23">
      <c r="A23" s="5">
        <f>Tareas!C23</f>
        <v/>
      </c>
      <c r="B23" s="5">
        <f>Tareas!B23</f>
        <v/>
      </c>
      <c r="C23" s="5">
        <f>IF(Tareas!E23="Hecho","Completada",IF(Tareas!E23="En curso","En curso","No iniciada"))</f>
        <v/>
      </c>
      <c r="D23" s="5">
        <f>IF(Tareas!D23="Alta","Importante",IF(Tareas!D23="Media","Media","Baja"))</f>
        <v/>
      </c>
      <c r="E23" s="5">
        <f>IF(Tareas!H23="","",Tareas!H23)</f>
        <v/>
      </c>
      <c r="F23" s="5">
        <f>Tareas!F23</f>
        <v/>
      </c>
      <c r="G23" s="5">
        <f>Tareas!I23</f>
        <v/>
      </c>
    </row>
    <row r="24">
      <c r="A24" s="5">
        <f>Tareas!C24</f>
        <v/>
      </c>
      <c r="B24" s="5">
        <f>Tareas!B24</f>
        <v/>
      </c>
      <c r="C24" s="5">
        <f>IF(Tareas!E24="Hecho","Completada",IF(Tareas!E24="En curso","En curso","No iniciada"))</f>
        <v/>
      </c>
      <c r="D24" s="5">
        <f>IF(Tareas!D24="Alta","Importante",IF(Tareas!D24="Media","Media","Baja"))</f>
        <v/>
      </c>
      <c r="E24" s="5">
        <f>IF(Tareas!H24="","",Tareas!H24)</f>
        <v/>
      </c>
      <c r="F24" s="5">
        <f>Tareas!F24</f>
        <v/>
      </c>
      <c r="G24" s="5">
        <f>Tareas!I24</f>
        <v/>
      </c>
    </row>
    <row r="25">
      <c r="A25" s="5">
        <f>Tareas!C25</f>
        <v/>
      </c>
      <c r="B25" s="5">
        <f>Tareas!B25</f>
        <v/>
      </c>
      <c r="C25" s="5">
        <f>IF(Tareas!E25="Hecho","Completada",IF(Tareas!E25="En curso","En curso","No iniciada"))</f>
        <v/>
      </c>
      <c r="D25" s="5">
        <f>IF(Tareas!D25="Alta","Importante",IF(Tareas!D25="Media","Media","Baja"))</f>
        <v/>
      </c>
      <c r="E25" s="5">
        <f>IF(Tareas!H25="","",Tareas!H25)</f>
        <v/>
      </c>
      <c r="F25" s="5">
        <f>Tareas!F25</f>
        <v/>
      </c>
      <c r="G25" s="5">
        <f>Tareas!I25</f>
        <v/>
      </c>
    </row>
    <row r="26">
      <c r="A26" s="5">
        <f>Tareas!C26</f>
        <v/>
      </c>
      <c r="B26" s="5">
        <f>Tareas!B26</f>
        <v/>
      </c>
      <c r="C26" s="5">
        <f>IF(Tareas!E26="Hecho","Completada",IF(Tareas!E26="En curso","En curso","No iniciada"))</f>
        <v/>
      </c>
      <c r="D26" s="5">
        <f>IF(Tareas!D26="Alta","Importante",IF(Tareas!D26="Media","Media","Baja"))</f>
        <v/>
      </c>
      <c r="E26" s="5">
        <f>IF(Tareas!H26="","",Tareas!H26)</f>
        <v/>
      </c>
      <c r="F26" s="5">
        <f>Tareas!F26</f>
        <v/>
      </c>
      <c r="G26" s="5">
        <f>Tareas!I26</f>
        <v/>
      </c>
    </row>
    <row r="27">
      <c r="A27" s="5">
        <f>Tareas!C27</f>
        <v/>
      </c>
      <c r="B27" s="5">
        <f>Tareas!B27</f>
        <v/>
      </c>
      <c r="C27" s="5">
        <f>IF(Tareas!E27="Hecho","Completada",IF(Tareas!E27="En curso","En curso","No iniciada"))</f>
        <v/>
      </c>
      <c r="D27" s="5">
        <f>IF(Tareas!D27="Alta","Importante",IF(Tareas!D27="Media","Media","Baja"))</f>
        <v/>
      </c>
      <c r="E27" s="5">
        <f>IF(Tareas!H27="","",Tareas!H27)</f>
        <v/>
      </c>
      <c r="F27" s="5">
        <f>Tareas!F27</f>
        <v/>
      </c>
      <c r="G27" s="5">
        <f>Tareas!I27</f>
        <v/>
      </c>
    </row>
    <row r="28">
      <c r="A28" s="5">
        <f>Tareas!C28</f>
        <v/>
      </c>
      <c r="B28" s="5">
        <f>Tareas!B28</f>
        <v/>
      </c>
      <c r="C28" s="5">
        <f>IF(Tareas!E28="Hecho","Completada",IF(Tareas!E28="En curso","En curso","No iniciada"))</f>
        <v/>
      </c>
      <c r="D28" s="5">
        <f>IF(Tareas!D28="Alta","Importante",IF(Tareas!D28="Media","Media","Baja"))</f>
        <v/>
      </c>
      <c r="E28" s="5">
        <f>IF(Tareas!H28="","",Tareas!H28)</f>
        <v/>
      </c>
      <c r="F28" s="5">
        <f>Tareas!F28</f>
        <v/>
      </c>
      <c r="G28" s="5">
        <f>Tareas!I28</f>
        <v/>
      </c>
    </row>
    <row r="29">
      <c r="A29" s="5">
        <f>Tareas!C29</f>
        <v/>
      </c>
      <c r="B29" s="5">
        <f>Tareas!B29</f>
        <v/>
      </c>
      <c r="C29" s="5">
        <f>IF(Tareas!E29="Hecho","Completada",IF(Tareas!E29="En curso","En curso","No iniciada"))</f>
        <v/>
      </c>
      <c r="D29" s="5">
        <f>IF(Tareas!D29="Alta","Importante",IF(Tareas!D29="Media","Media","Baja"))</f>
        <v/>
      </c>
      <c r="E29" s="5">
        <f>IF(Tareas!H29="","",Tareas!H29)</f>
        <v/>
      </c>
      <c r="F29" s="5">
        <f>Tareas!F29</f>
        <v/>
      </c>
      <c r="G29" s="5">
        <f>Tareas!I29</f>
        <v/>
      </c>
    </row>
    <row r="30">
      <c r="A30" s="5">
        <f>Tareas!C30</f>
        <v/>
      </c>
      <c r="B30" s="5">
        <f>Tareas!B30</f>
        <v/>
      </c>
      <c r="C30" s="5">
        <f>IF(Tareas!E30="Hecho","Completada",IF(Tareas!E30="En curso","En curso","No iniciada"))</f>
        <v/>
      </c>
      <c r="D30" s="5">
        <f>IF(Tareas!D30="Alta","Importante",IF(Tareas!D30="Media","Media","Baja"))</f>
        <v/>
      </c>
      <c r="E30" s="5">
        <f>IF(Tareas!H30="","",Tareas!H30)</f>
        <v/>
      </c>
      <c r="F30" s="5">
        <f>Tareas!F30</f>
        <v/>
      </c>
      <c r="G30" s="5">
        <f>Tareas!I30</f>
        <v/>
      </c>
    </row>
    <row r="31">
      <c r="A31" s="5">
        <f>Tareas!C31</f>
        <v/>
      </c>
      <c r="B31" s="5">
        <f>Tareas!B31</f>
        <v/>
      </c>
      <c r="C31" s="5">
        <f>IF(Tareas!E31="Hecho","Completada",IF(Tareas!E31="En curso","En curso","No iniciada"))</f>
        <v/>
      </c>
      <c r="D31" s="5">
        <f>IF(Tareas!D31="Alta","Importante",IF(Tareas!D31="Media","Media","Baja"))</f>
        <v/>
      </c>
      <c r="E31" s="5">
        <f>IF(Tareas!H31="","",Tareas!H31)</f>
        <v/>
      </c>
      <c r="F31" s="5">
        <f>Tareas!F31</f>
        <v/>
      </c>
      <c r="G31" s="5">
        <f>Tareas!I31</f>
        <v/>
      </c>
    </row>
    <row r="32">
      <c r="A32" s="5">
        <f>Tareas!C32</f>
        <v/>
      </c>
      <c r="B32" s="5">
        <f>Tareas!B32</f>
        <v/>
      </c>
      <c r="C32" s="5">
        <f>IF(Tareas!E32="Hecho","Completada",IF(Tareas!E32="En curso","En curso","No iniciada"))</f>
        <v/>
      </c>
      <c r="D32" s="5">
        <f>IF(Tareas!D32="Alta","Importante",IF(Tareas!D32="Media","Media","Baja"))</f>
        <v/>
      </c>
      <c r="E32" s="5">
        <f>IF(Tareas!H32="","",Tareas!H32)</f>
        <v/>
      </c>
      <c r="F32" s="5">
        <f>Tareas!F32</f>
        <v/>
      </c>
      <c r="G32" s="5">
        <f>Tareas!I32</f>
        <v/>
      </c>
    </row>
    <row r="33">
      <c r="A33" s="5">
        <f>Tareas!C33</f>
        <v/>
      </c>
      <c r="B33" s="5">
        <f>Tareas!B33</f>
        <v/>
      </c>
      <c r="C33" s="5">
        <f>IF(Tareas!E33="Hecho","Completada",IF(Tareas!E33="En curso","En curso","No iniciada"))</f>
        <v/>
      </c>
      <c r="D33" s="5">
        <f>IF(Tareas!D33="Alta","Importante",IF(Tareas!D33="Media","Media","Baja"))</f>
        <v/>
      </c>
      <c r="E33" s="5">
        <f>IF(Tareas!H33="","",Tareas!H33)</f>
        <v/>
      </c>
      <c r="F33" s="5">
        <f>Tareas!F33</f>
        <v/>
      </c>
      <c r="G33" s="5">
        <f>Tareas!I33</f>
        <v/>
      </c>
    </row>
    <row r="34">
      <c r="A34" s="5">
        <f>Tareas!C34</f>
        <v/>
      </c>
      <c r="B34" s="5">
        <f>Tareas!B34</f>
        <v/>
      </c>
      <c r="C34" s="5">
        <f>IF(Tareas!E34="Hecho","Completada",IF(Tareas!E34="En curso","En curso","No iniciada"))</f>
        <v/>
      </c>
      <c r="D34" s="5">
        <f>IF(Tareas!D34="Alta","Importante",IF(Tareas!D34="Media","Media","Baja"))</f>
        <v/>
      </c>
      <c r="E34" s="5">
        <f>IF(Tareas!H34="","",Tareas!H34)</f>
        <v/>
      </c>
      <c r="F34" s="5">
        <f>Tareas!F34</f>
        <v/>
      </c>
      <c r="G34" s="5">
        <f>Tareas!I34</f>
        <v/>
      </c>
    </row>
    <row r="35">
      <c r="A35" s="5">
        <f>Tareas!C35</f>
        <v/>
      </c>
      <c r="B35" s="5">
        <f>Tareas!B35</f>
        <v/>
      </c>
      <c r="C35" s="5">
        <f>IF(Tareas!E35="Hecho","Completada",IF(Tareas!E35="En curso","En curso","No iniciada"))</f>
        <v/>
      </c>
      <c r="D35" s="5">
        <f>IF(Tareas!D35="Alta","Importante",IF(Tareas!D35="Media","Media","Baja"))</f>
        <v/>
      </c>
      <c r="E35" s="5">
        <f>IF(Tareas!H35="","",Tareas!H35)</f>
        <v/>
      </c>
      <c r="F35" s="5">
        <f>Tareas!F35</f>
        <v/>
      </c>
      <c r="G35" s="5">
        <f>Tareas!I35</f>
        <v/>
      </c>
    </row>
    <row r="36">
      <c r="A36" s="5">
        <f>Tareas!C36</f>
        <v/>
      </c>
      <c r="B36" s="5">
        <f>Tareas!B36</f>
        <v/>
      </c>
      <c r="C36" s="5">
        <f>IF(Tareas!E36="Hecho","Completada",IF(Tareas!E36="En curso","En curso","No iniciada"))</f>
        <v/>
      </c>
      <c r="D36" s="5">
        <f>IF(Tareas!D36="Alta","Importante",IF(Tareas!D36="Media","Media","Baja"))</f>
        <v/>
      </c>
      <c r="E36" s="5">
        <f>IF(Tareas!H36="","",Tareas!H36)</f>
        <v/>
      </c>
      <c r="F36" s="5">
        <f>Tareas!F36</f>
        <v/>
      </c>
      <c r="G36" s="5">
        <f>Tareas!I36</f>
        <v/>
      </c>
    </row>
    <row r="37">
      <c r="A37" s="5">
        <f>Tareas!C37</f>
        <v/>
      </c>
      <c r="B37" s="5">
        <f>Tareas!B37</f>
        <v/>
      </c>
      <c r="C37" s="5">
        <f>IF(Tareas!E37="Hecho","Completada",IF(Tareas!E37="En curso","En curso","No iniciada"))</f>
        <v/>
      </c>
      <c r="D37" s="5">
        <f>IF(Tareas!D37="Alta","Importante",IF(Tareas!D37="Media","Media","Baja"))</f>
        <v/>
      </c>
      <c r="E37" s="5">
        <f>IF(Tareas!H37="","",Tareas!H37)</f>
        <v/>
      </c>
      <c r="F37" s="5">
        <f>Tareas!F37</f>
        <v/>
      </c>
      <c r="G37" s="5">
        <f>Tareas!I37</f>
        <v/>
      </c>
    </row>
    <row r="38">
      <c r="A38" s="5">
        <f>Tareas!C38</f>
        <v/>
      </c>
      <c r="B38" s="5">
        <f>Tareas!B38</f>
        <v/>
      </c>
      <c r="C38" s="5">
        <f>IF(Tareas!E38="Hecho","Completada",IF(Tareas!E38="En curso","En curso","No iniciada"))</f>
        <v/>
      </c>
      <c r="D38" s="5">
        <f>IF(Tareas!D38="Alta","Importante",IF(Tareas!D38="Media","Media","Baja"))</f>
        <v/>
      </c>
      <c r="E38" s="5">
        <f>IF(Tareas!H38="","",Tareas!H38)</f>
        <v/>
      </c>
      <c r="F38" s="5">
        <f>Tareas!F38</f>
        <v/>
      </c>
      <c r="G38" s="5">
        <f>Tareas!I38</f>
        <v/>
      </c>
    </row>
    <row r="39">
      <c r="A39" s="5">
        <f>Tareas!C39</f>
        <v/>
      </c>
      <c r="B39" s="5">
        <f>Tareas!B39</f>
        <v/>
      </c>
      <c r="C39" s="5">
        <f>IF(Tareas!E39="Hecho","Completada",IF(Tareas!E39="En curso","En curso","No iniciada"))</f>
        <v/>
      </c>
      <c r="D39" s="5">
        <f>IF(Tareas!D39="Alta","Importante",IF(Tareas!D39="Media","Media","Baja"))</f>
        <v/>
      </c>
      <c r="E39" s="5">
        <f>IF(Tareas!H39="","",Tareas!H39)</f>
        <v/>
      </c>
      <c r="F39" s="5">
        <f>Tareas!F39</f>
        <v/>
      </c>
      <c r="G39" s="5">
        <f>Tareas!I39</f>
        <v/>
      </c>
    </row>
    <row r="40">
      <c r="A40" s="5">
        <f>Tareas!C40</f>
        <v/>
      </c>
      <c r="B40" s="5">
        <f>Tareas!B40</f>
        <v/>
      </c>
      <c r="C40" s="5">
        <f>IF(Tareas!E40="Hecho","Completada",IF(Tareas!E40="En curso","En curso","No iniciada"))</f>
        <v/>
      </c>
      <c r="D40" s="5">
        <f>IF(Tareas!D40="Alta","Importante",IF(Tareas!D40="Media","Media","Baja"))</f>
        <v/>
      </c>
      <c r="E40" s="5">
        <f>IF(Tareas!H40="","",Tareas!H40)</f>
        <v/>
      </c>
      <c r="F40" s="5">
        <f>Tareas!F40</f>
        <v/>
      </c>
      <c r="G40" s="5">
        <f>Tareas!I40</f>
        <v/>
      </c>
    </row>
    <row r="41">
      <c r="A41" s="5">
        <f>Tareas!C41</f>
        <v/>
      </c>
      <c r="B41" s="5">
        <f>Tareas!B41</f>
        <v/>
      </c>
      <c r="C41" s="5">
        <f>IF(Tareas!E41="Hecho","Completada",IF(Tareas!E41="En curso","En curso","No iniciada"))</f>
        <v/>
      </c>
      <c r="D41" s="5">
        <f>IF(Tareas!D41="Alta","Importante",IF(Tareas!D41="Media","Media","Baja"))</f>
        <v/>
      </c>
      <c r="E41" s="5">
        <f>IF(Tareas!H41="","",Tareas!H41)</f>
        <v/>
      </c>
      <c r="F41" s="5">
        <f>Tareas!F41</f>
        <v/>
      </c>
      <c r="G41" s="5">
        <f>Tareas!I41</f>
        <v/>
      </c>
    </row>
    <row r="42">
      <c r="A42" s="5">
        <f>Tareas!C42</f>
        <v/>
      </c>
      <c r="B42" s="5">
        <f>Tareas!B42</f>
        <v/>
      </c>
      <c r="C42" s="5">
        <f>IF(Tareas!E42="Hecho","Completada",IF(Tareas!E42="En curso","En curso","No iniciada"))</f>
        <v/>
      </c>
      <c r="D42" s="5">
        <f>IF(Tareas!D42="Alta","Importante",IF(Tareas!D42="Media","Media","Baja"))</f>
        <v/>
      </c>
      <c r="E42" s="5">
        <f>IF(Tareas!H42="","",Tareas!H42)</f>
        <v/>
      </c>
      <c r="F42" s="5">
        <f>Tareas!F42</f>
        <v/>
      </c>
      <c r="G42" s="5">
        <f>Tareas!I42</f>
        <v/>
      </c>
    </row>
    <row r="43">
      <c r="A43" s="5">
        <f>Tareas!C43</f>
        <v/>
      </c>
      <c r="B43" s="5">
        <f>Tareas!B43</f>
        <v/>
      </c>
      <c r="C43" s="5">
        <f>IF(Tareas!E43="Hecho","Completada",IF(Tareas!E43="En curso","En curso","No iniciada"))</f>
        <v/>
      </c>
      <c r="D43" s="5">
        <f>IF(Tareas!D43="Alta","Importante",IF(Tareas!D43="Media","Media","Baja"))</f>
        <v/>
      </c>
      <c r="E43" s="5">
        <f>IF(Tareas!H43="","",Tareas!H43)</f>
        <v/>
      </c>
      <c r="F43" s="5">
        <f>Tareas!F43</f>
        <v/>
      </c>
      <c r="G43" s="5">
        <f>Tareas!I43</f>
        <v/>
      </c>
    </row>
    <row r="44">
      <c r="A44" s="5">
        <f>Tareas!C44</f>
        <v/>
      </c>
      <c r="B44" s="5">
        <f>Tareas!B44</f>
        <v/>
      </c>
      <c r="C44" s="5">
        <f>IF(Tareas!E44="Hecho","Completada",IF(Tareas!E44="En curso","En curso","No iniciada"))</f>
        <v/>
      </c>
      <c r="D44" s="5">
        <f>IF(Tareas!D44="Alta","Importante",IF(Tareas!D44="Media","Media","Baja"))</f>
        <v/>
      </c>
      <c r="E44" s="5">
        <f>IF(Tareas!H44="","",Tareas!H44)</f>
        <v/>
      </c>
      <c r="F44" s="5">
        <f>Tareas!F44</f>
        <v/>
      </c>
      <c r="G44" s="5">
        <f>Tareas!I44</f>
        <v/>
      </c>
    </row>
    <row r="45">
      <c r="A45" s="5">
        <f>Tareas!C45</f>
        <v/>
      </c>
      <c r="B45" s="5">
        <f>Tareas!B45</f>
        <v/>
      </c>
      <c r="C45" s="5">
        <f>IF(Tareas!E45="Hecho","Completada",IF(Tareas!E45="En curso","En curso","No iniciada"))</f>
        <v/>
      </c>
      <c r="D45" s="5">
        <f>IF(Tareas!D45="Alta","Importante",IF(Tareas!D45="Media","Media","Baja"))</f>
        <v/>
      </c>
      <c r="E45" s="5">
        <f>IF(Tareas!H45="","",Tareas!H45)</f>
        <v/>
      </c>
      <c r="F45" s="5">
        <f>Tareas!F45</f>
        <v/>
      </c>
      <c r="G45" s="5">
        <f>Tareas!I45</f>
        <v/>
      </c>
    </row>
    <row r="46">
      <c r="A46" s="5">
        <f>Tareas!C46</f>
        <v/>
      </c>
      <c r="B46" s="5">
        <f>Tareas!B46</f>
        <v/>
      </c>
      <c r="C46" s="5">
        <f>IF(Tareas!E46="Hecho","Completada",IF(Tareas!E46="En curso","En curso","No iniciada"))</f>
        <v/>
      </c>
      <c r="D46" s="5">
        <f>IF(Tareas!D46="Alta","Importante",IF(Tareas!D46="Media","Media","Baja"))</f>
        <v/>
      </c>
      <c r="E46" s="5">
        <f>IF(Tareas!H46="","",Tareas!H46)</f>
        <v/>
      </c>
      <c r="F46" s="5">
        <f>Tareas!F46</f>
        <v/>
      </c>
      <c r="G46" s="5">
        <f>Tareas!I46</f>
        <v/>
      </c>
    </row>
    <row r="47">
      <c r="A47" s="5">
        <f>Tareas!C47</f>
        <v/>
      </c>
      <c r="B47" s="5">
        <f>Tareas!B47</f>
        <v/>
      </c>
      <c r="C47" s="5">
        <f>IF(Tareas!E47="Hecho","Completada",IF(Tareas!E47="En curso","En curso","No iniciada"))</f>
        <v/>
      </c>
      <c r="D47" s="5">
        <f>IF(Tareas!D47="Alta","Importante",IF(Tareas!D47="Media","Media","Baja"))</f>
        <v/>
      </c>
      <c r="E47" s="5">
        <f>IF(Tareas!H47="","",Tareas!H47)</f>
        <v/>
      </c>
      <c r="F47" s="5">
        <f>Tareas!F47</f>
        <v/>
      </c>
      <c r="G47" s="5">
        <f>Tareas!I47</f>
        <v/>
      </c>
    </row>
    <row r="48">
      <c r="A48" s="5">
        <f>Tareas!C48</f>
        <v/>
      </c>
      <c r="B48" s="5">
        <f>Tareas!B48</f>
        <v/>
      </c>
      <c r="C48" s="5">
        <f>IF(Tareas!E48="Hecho","Completada",IF(Tareas!E48="En curso","En curso","No iniciada"))</f>
        <v/>
      </c>
      <c r="D48" s="5">
        <f>IF(Tareas!D48="Alta","Importante",IF(Tareas!D48="Media","Media","Baja"))</f>
        <v/>
      </c>
      <c r="E48" s="5">
        <f>IF(Tareas!H48="","",Tareas!H48)</f>
        <v/>
      </c>
      <c r="F48" s="5">
        <f>Tareas!F48</f>
        <v/>
      </c>
      <c r="G48" s="5">
        <f>Tareas!I48</f>
        <v/>
      </c>
    </row>
    <row r="49">
      <c r="A49" s="5">
        <f>Tareas!C49</f>
        <v/>
      </c>
      <c r="B49" s="5">
        <f>Tareas!B49</f>
        <v/>
      </c>
      <c r="C49" s="5">
        <f>IF(Tareas!E49="Hecho","Completada",IF(Tareas!E49="En curso","En curso","No iniciada"))</f>
        <v/>
      </c>
      <c r="D49" s="5">
        <f>IF(Tareas!D49="Alta","Importante",IF(Tareas!D49="Media","Media","Baja"))</f>
        <v/>
      </c>
      <c r="E49" s="5">
        <f>IF(Tareas!H49="","",Tareas!H49)</f>
        <v/>
      </c>
      <c r="F49" s="5">
        <f>Tareas!F49</f>
        <v/>
      </c>
      <c r="G49" s="5">
        <f>Tareas!I49</f>
        <v/>
      </c>
    </row>
    <row r="50">
      <c r="A50" s="5">
        <f>Tareas!C50</f>
        <v/>
      </c>
      <c r="B50" s="5">
        <f>Tareas!B50</f>
        <v/>
      </c>
      <c r="C50" s="5">
        <f>IF(Tareas!E50="Hecho","Completada",IF(Tareas!E50="En curso","En curso","No iniciada"))</f>
        <v/>
      </c>
      <c r="D50" s="5">
        <f>IF(Tareas!D50="Alta","Importante",IF(Tareas!D50="Media","Media","Baja"))</f>
        <v/>
      </c>
      <c r="E50" s="5">
        <f>IF(Tareas!H50="","",Tareas!H50)</f>
        <v/>
      </c>
      <c r="F50" s="5">
        <f>Tareas!F50</f>
        <v/>
      </c>
      <c r="G50" s="5">
        <f>Tareas!I50</f>
        <v/>
      </c>
    </row>
    <row r="51">
      <c r="A51" s="5">
        <f>Tareas!C51</f>
        <v/>
      </c>
      <c r="B51" s="5">
        <f>Tareas!B51</f>
        <v/>
      </c>
      <c r="C51" s="5">
        <f>IF(Tareas!E51="Hecho","Completada",IF(Tareas!E51="En curso","En curso","No iniciada"))</f>
        <v/>
      </c>
      <c r="D51" s="5">
        <f>IF(Tareas!D51="Alta","Importante",IF(Tareas!D51="Media","Media","Baja"))</f>
        <v/>
      </c>
      <c r="E51" s="5">
        <f>IF(Tareas!H51="","",Tareas!H51)</f>
        <v/>
      </c>
      <c r="F51" s="5">
        <f>Tareas!F51</f>
        <v/>
      </c>
      <c r="G51" s="5">
        <f>Tareas!I51</f>
        <v/>
      </c>
    </row>
    <row r="52">
      <c r="A52" s="5">
        <f>Tareas!C52</f>
        <v/>
      </c>
      <c r="B52" s="5">
        <f>Tareas!B52</f>
        <v/>
      </c>
      <c r="C52" s="5">
        <f>IF(Tareas!E52="Hecho","Completada",IF(Tareas!E52="En curso","En curso","No iniciada"))</f>
        <v/>
      </c>
      <c r="D52" s="5">
        <f>IF(Tareas!D52="Alta","Importante",IF(Tareas!D52="Media","Media","Baja"))</f>
        <v/>
      </c>
      <c r="E52" s="5">
        <f>IF(Tareas!H52="","",Tareas!H52)</f>
        <v/>
      </c>
      <c r="F52" s="5">
        <f>Tareas!F52</f>
        <v/>
      </c>
      <c r="G52" s="5">
        <f>Tareas!I52</f>
        <v/>
      </c>
    </row>
    <row r="53">
      <c r="A53" s="5">
        <f>Tareas!C53</f>
        <v/>
      </c>
      <c r="B53" s="5">
        <f>Tareas!B53</f>
        <v/>
      </c>
      <c r="C53" s="5">
        <f>IF(Tareas!E53="Hecho","Completada",IF(Tareas!E53="En curso","En curso","No iniciada"))</f>
        <v/>
      </c>
      <c r="D53" s="5">
        <f>IF(Tareas!D53="Alta","Importante",IF(Tareas!D53="Media","Media","Baja"))</f>
        <v/>
      </c>
      <c r="E53" s="5">
        <f>IF(Tareas!H53="","",Tareas!H53)</f>
        <v/>
      </c>
      <c r="F53" s="5">
        <f>Tareas!F53</f>
        <v/>
      </c>
      <c r="G53" s="5">
        <f>Tareas!I53</f>
        <v/>
      </c>
    </row>
    <row r="54">
      <c r="A54" s="5">
        <f>Tareas!C54</f>
        <v/>
      </c>
      <c r="B54" s="5">
        <f>Tareas!B54</f>
        <v/>
      </c>
      <c r="C54" s="5">
        <f>IF(Tareas!E54="Hecho","Completada",IF(Tareas!E54="En curso","En curso","No iniciada"))</f>
        <v/>
      </c>
      <c r="D54" s="5">
        <f>IF(Tareas!D54="Alta","Importante",IF(Tareas!D54="Media","Media","Baja"))</f>
        <v/>
      </c>
      <c r="E54" s="5">
        <f>IF(Tareas!H54="","",Tareas!H54)</f>
        <v/>
      </c>
      <c r="F54" s="5">
        <f>Tareas!F54</f>
        <v/>
      </c>
      <c r="G54" s="5">
        <f>Tareas!I54</f>
        <v/>
      </c>
    </row>
    <row r="56">
      <c r="A56" s="8" t="inlineStr">
        <is>
          <t>Se llena sola desde la hoja Tareas (filas 2 a 54). Si agregas tareas, copia las fórmulas hacia abajo.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00" customWidth="1" min="4" max="4"/>
    <col width="40" customWidth="1" min="5" max="5"/>
  </cols>
  <sheetData>
    <row r="1" ht="30" customHeight="1">
      <c r="A1" s="4" t="inlineStr">
        <is>
          <t>Fecha</t>
        </is>
      </c>
      <c r="B1" s="4" t="inlineStr">
        <is>
          <t>Commit</t>
        </is>
      </c>
      <c r="C1" s="4" t="inlineStr">
        <is>
          <t>Área</t>
        </is>
      </c>
      <c r="D1" s="4" t="inlineStr">
        <is>
          <t>Resumen</t>
        </is>
      </c>
      <c r="E1" s="4" t="inlineStr">
        <is>
          <t>Notas</t>
        </is>
      </c>
    </row>
    <row r="2">
      <c r="A2" s="5" t="inlineStr">
        <is>
          <t>2026-10-10</t>
        </is>
      </c>
      <c r="B2" s="5" t="inlineStr">
        <is>
          <t>37c36e2</t>
        </is>
      </c>
      <c r="C2" s="5" t="inlineStr">
        <is>
          <t>Docs</t>
        </is>
      </c>
      <c r="D2" s="5" t="inlineStr">
        <is>
          <t>docs: reconocimiento inicial y ajustes de plan (fase 0)</t>
        </is>
      </c>
      <c r="E2" s="5" t="inlineStr"/>
    </row>
    <row r="3">
      <c r="A3" s="5" t="inlineStr">
        <is>
          <t>2026-10-10</t>
        </is>
      </c>
      <c r="B3" s="5" t="inlineStr">
        <is>
          <t>444823b</t>
        </is>
      </c>
      <c r="C3" s="5" t="inlineStr">
        <is>
          <t>Docs</t>
        </is>
      </c>
      <c r="D3" s="5" t="inlineStr">
        <is>
          <t>fase 1 (parcial): endurece admin/CORS/logs, declara requests y documenta plan maestro</t>
        </is>
      </c>
      <c r="E3" s="5" t="inlineStr"/>
    </row>
    <row r="4">
      <c r="A4" s="5" t="inlineStr">
        <is>
          <t>2026-10-10</t>
        </is>
      </c>
      <c r="B4" s="5" t="inlineStr">
        <is>
          <t>b037403</t>
        </is>
      </c>
      <c r="C4" s="5" t="inlineStr">
        <is>
          <t>Código</t>
        </is>
      </c>
      <c r="D4" s="5" t="inlineStr">
        <is>
          <t>fase 1: borradores de registro de tratamiento y encargados; actualiza estado del plan</t>
        </is>
      </c>
      <c r="E4" s="5" t="inlineStr"/>
    </row>
    <row r="5">
      <c r="A5" s="5" t="inlineStr">
        <is>
          <t>2026-10-10</t>
        </is>
      </c>
      <c r="B5" s="5" t="inlineStr">
        <is>
          <t>88bcbcd</t>
        </is>
      </c>
      <c r="C5" s="5" t="inlineStr">
        <is>
          <t>Código</t>
        </is>
      </c>
      <c r="D5" s="5" t="inlineStr">
        <is>
          <t>fase 1: fotos de resenas a almacenamiento privado, EIPD borrador</t>
        </is>
      </c>
      <c r="E5" s="5" t="inlineStr"/>
    </row>
    <row r="6">
      <c r="A6" s="5" t="inlineStr">
        <is>
          <t>2026-10-10</t>
        </is>
      </c>
      <c r="B6" s="5" t="inlineStr">
        <is>
          <t>b16b5fb</t>
        </is>
      </c>
      <c r="C6" s="5" t="inlineStr">
        <is>
          <t>Seguridad</t>
        </is>
      </c>
      <c r="D6" s="5" t="inlineStr">
        <is>
          <t>docs: registra decisiones de producto sobre verificacion (nativa principal, via alternativa con MFA)</t>
        </is>
      </c>
      <c r="E6" s="5" t="inlineStr"/>
    </row>
    <row r="7">
      <c r="A7" s="5" t="inlineStr">
        <is>
          <t>2026-10-10</t>
        </is>
      </c>
      <c r="B7" s="5" t="inlineStr">
        <is>
          <t>b8100d3</t>
        </is>
      </c>
      <c r="C7" s="5" t="inlineStr">
        <is>
          <t>Código</t>
        </is>
      </c>
      <c r="D7" s="5" t="inlineStr">
        <is>
          <t>fase 2: consentimiento biometrico versionado (modelo, gating, revocacion, UI Django e Ionic)</t>
        </is>
      </c>
      <c r="E7" s="5" t="inlineStr"/>
    </row>
    <row r="8">
      <c r="A8" s="5" t="inlineStr">
        <is>
          <t>2026-10-10</t>
        </is>
      </c>
      <c r="B8" s="5" t="inlineStr">
        <is>
          <t>53216aa</t>
        </is>
      </c>
      <c r="C8" s="5" t="inlineStr">
        <is>
          <t>Código</t>
        </is>
      </c>
      <c r="D8" s="5" t="inlineStr">
        <is>
          <t>fase 2: cifra encoding_facial en reposo y agrega enforcement de identidad (apagado por defecto)</t>
        </is>
      </c>
      <c r="E8" s="5" t="inlineStr"/>
    </row>
    <row r="9">
      <c r="A9" s="5" t="inlineStr">
        <is>
          <t>2026-10-10</t>
        </is>
      </c>
      <c r="B9" s="5" t="inlineStr">
        <is>
          <t>7c4df38</t>
        </is>
      </c>
      <c r="C9" s="5" t="inlineStr">
        <is>
          <t>Seguridad</t>
        </is>
      </c>
      <c r="D9" s="5" t="inlineStr">
        <is>
          <t>fase 3: derechos del titular (mis-datos, eliminar-cuenta por anonimizacion) con UI en Ionic</t>
        </is>
      </c>
      <c r="E9" s="5" t="inlineStr"/>
    </row>
    <row r="10">
      <c r="A10" s="5" t="inlineStr">
        <is>
          <t>2026-10-10</t>
        </is>
      </c>
      <c r="B10" s="5" t="inlineStr">
        <is>
          <t>7b0cea7</t>
        </is>
      </c>
      <c r="C10" s="5" t="inlineStr">
        <is>
          <t>Código</t>
        </is>
      </c>
      <c r="D10" s="5" t="inlineStr">
        <is>
          <t>fase 3: retencion automatizable (purgar_datos_vencidos, mantenimiento_retencion; borra fotos de chats)</t>
        </is>
      </c>
      <c r="E10" s="5" t="inlineStr"/>
    </row>
    <row r="11">
      <c r="A11" s="5" t="inlineStr">
        <is>
          <t>2026-10-10</t>
        </is>
      </c>
      <c r="B11" s="5" t="inlineStr">
        <is>
          <t>a0f2526</t>
        </is>
      </c>
      <c r="C11" s="5" t="inlineStr">
        <is>
          <t>Docs</t>
        </is>
      </c>
      <c r="D11" s="5" t="inlineStr">
        <is>
          <t>fase 2: via alternativa de identidad sin biometria (advertencia + codigo por correo + documento revisado), API, admin e Ionic</t>
        </is>
      </c>
      <c r="E11" s="5" t="inlineStr"/>
    </row>
    <row r="12">
      <c r="A12" s="5" t="inlineStr">
        <is>
          <t>2026-10-11</t>
        </is>
      </c>
      <c r="B12" s="5" t="inlineStr">
        <is>
          <t>33741a0</t>
        </is>
      </c>
      <c r="C12" s="5" t="inlineStr">
        <is>
          <t>Docs</t>
        </is>
      </c>
      <c r="D12" s="5" t="inlineStr">
        <is>
          <t>docs: estado del proyecto y proximos pasos (retoma, demo de Render caido)</t>
        </is>
      </c>
      <c r="E12" s="5" t="inlineStr"/>
    </row>
    <row r="13">
      <c r="A13" s="5" t="inlineStr">
        <is>
          <t>2026-10-12</t>
        </is>
      </c>
      <c r="B13" s="5" t="inlineStr">
        <is>
          <t>c5c2ed3</t>
        </is>
      </c>
      <c r="C13" s="5" t="inlineStr">
        <is>
          <t>Docs</t>
        </is>
      </c>
      <c r="D13" s="5" t="inlineStr">
        <is>
          <t>docs: reordena la documentacion (indice, archivo historico, CLAUDE.md condensado)</t>
        </is>
      </c>
      <c r="E13" s="5" t="inlineStr"/>
    </row>
    <row r="14">
      <c r="A14" s="5" t="inlineStr">
        <is>
          <t>2026-10-12</t>
        </is>
      </c>
      <c r="B14" s="5" t="inlineStr">
        <is>
          <t>6183dd5</t>
        </is>
      </c>
      <c r="C14" s="5" t="inlineStr">
        <is>
          <t>Código</t>
        </is>
      </c>
      <c r="D14" s="5" t="inlineStr">
        <is>
          <t>render: la base de datos pasa a Neon (DATABASE_URL manual); actualiza estado del demo</t>
        </is>
      </c>
      <c r="E14" s="5" t="inlineStr"/>
    </row>
    <row r="15">
      <c r="A15" s="5" t="inlineStr">
        <is>
          <t>2026-10-12</t>
        </is>
      </c>
      <c r="B15" s="5" t="inlineStr">
        <is>
          <t>02bff77</t>
        </is>
      </c>
      <c r="C15" s="5" t="inlineStr">
        <is>
          <t>Docs</t>
        </is>
      </c>
      <c r="D15" s="5" t="inlineStr">
        <is>
          <t>docs: CLAUDE.md refleja el demo actual (Render + Neon, rama master)</t>
        </is>
      </c>
      <c r="E15" s="5" t="inlineStr"/>
    </row>
    <row r="16">
      <c r="A16" s="5" t="inlineStr">
        <is>
          <t>2026-10-12</t>
        </is>
      </c>
      <c r="B16" s="5" t="inlineStr">
        <is>
          <t>5db7152</t>
        </is>
      </c>
      <c r="C16" s="5" t="inlineStr">
        <is>
          <t>Código</t>
        </is>
      </c>
      <c r="D16" s="5" t="inlineStr">
        <is>
          <t>tests: settings_test (hasher MD5, solo con manage.py test) baja la suite de 12m48s a ~25s</t>
        </is>
      </c>
      <c r="E16" s="5" t="inlineStr"/>
    </row>
    <row r="17">
      <c r="A17" s="5" t="inlineStr">
        <is>
          <t>2026-10-12</t>
        </is>
      </c>
      <c r="B17" s="5" t="inlineStr">
        <is>
          <t>942872e</t>
        </is>
      </c>
      <c r="C17" s="5" t="inlineStr">
        <is>
          <t>Código</t>
        </is>
      </c>
      <c r="D17" s="5" t="inlineStr">
        <is>
          <t>fase 2/3: privacidad menciona el RUT (espanol neutro) + tests de rechazo de rostro distinto</t>
        </is>
      </c>
      <c r="E17" s="5" t="inlineStr"/>
    </row>
    <row r="18">
      <c r="A18" s="5" t="inlineStr">
        <is>
          <t>2026-10-12</t>
        </is>
      </c>
      <c r="B18" s="5" t="inlineStr">
        <is>
          <t>1faf689</t>
        </is>
      </c>
      <c r="C18" s="5" t="inlineStr">
        <is>
          <t>Seguridad</t>
        </is>
      </c>
      <c r="D18" s="5" t="inlineStr">
        <is>
          <t>fase 2/3: Moderador revisa verificacion sin biometria (con registro y aviso), retencion semanal, arregla CI</t>
        </is>
      </c>
      <c r="E18" s="5" t="inlineStr"/>
    </row>
    <row r="19">
      <c r="A19" s="5" t="inlineStr">
        <is>
          <t>2026-10-12</t>
        </is>
      </c>
      <c r="B19" s="5" t="inlineStr">
        <is>
          <t>4993e5b</t>
        </is>
      </c>
      <c r="C19" s="5" t="inlineStr">
        <is>
          <t>Seguridad</t>
        </is>
      </c>
      <c r="D19" s="5" t="inlineStr">
        <is>
          <t>fases 1-4: vigencia y auditoria de verificaciones, derechos del titular completos, ADRs y documentos de cumplimiento</t>
        </is>
      </c>
      <c r="E19" s="5" t="inlineStr"/>
    </row>
    <row r="20">
      <c r="A20" s="5" t="inlineStr">
        <is>
          <t>2026-10-12</t>
        </is>
      </c>
      <c r="B20" s="5" t="inlineStr">
        <is>
          <t>c99db06</t>
        </is>
      </c>
      <c r="C20" s="5" t="inlineStr">
        <is>
          <t>Código</t>
        </is>
      </c>
      <c r="D20" s="5" t="inlineStr">
        <is>
          <t>fase 5: asistente con IA (NVIDIA NIM) para preguntas frecuentes y busqueda en el catalogo</t>
        </is>
      </c>
      <c r="E20" s="5" t="inlineStr"/>
    </row>
    <row r="21">
      <c r="A21" s="5" t="inlineStr">
        <is>
          <t>2026-10-12</t>
        </is>
      </c>
      <c r="B21" s="5" t="inlineStr">
        <is>
          <t>fc37830</t>
        </is>
      </c>
      <c r="C21" s="5" t="inlineStr">
        <is>
          <t>Docs</t>
        </is>
      </c>
      <c r="D21" s="5" t="inlineStr">
        <is>
          <t>docs: estado actualizado tras la fase 5 (asistente con IA)</t>
        </is>
      </c>
      <c r="E21" s="5" t="inlineStr"/>
    </row>
    <row r="22">
      <c r="A22" s="5" t="inlineStr">
        <is>
          <t>2026-10-13</t>
        </is>
      </c>
      <c r="B22" s="5" t="inlineStr">
        <is>
          <t>735a9cd</t>
        </is>
      </c>
      <c r="C22" s="5" t="inlineStr">
        <is>
          <t>Código</t>
        </is>
      </c>
      <c r="D22" s="5" t="inlineStr">
        <is>
          <t>fase 7: carpeta de cumplimiento con matriz, resumen de mejoras, README renovado y E2E nuevos</t>
        </is>
      </c>
      <c r="E22" s="5" t="inlineStr"/>
    </row>
    <row r="23">
      <c r="A23" s="5" t="inlineStr">
        <is>
          <t>2026-10-13</t>
        </is>
      </c>
      <c r="B23" s="5" t="inlineStr">
        <is>
          <t>ed0fa30</t>
        </is>
      </c>
      <c r="C23" s="5" t="inlineStr">
        <is>
          <t>Docs</t>
        </is>
      </c>
      <c r="D23" s="5" t="inlineStr">
        <is>
          <t>docs: estado actualizado tras la fase 7 (solo queda la fase 6)</t>
        </is>
      </c>
      <c r="E23" s="5" t="inlineStr"/>
    </row>
    <row r="24">
      <c r="A24" s="5" t="inlineStr">
        <is>
          <t>2026-10-13</t>
        </is>
      </c>
      <c r="B24" s="5" t="inlineStr">
        <is>
          <t>1a2754f</t>
        </is>
      </c>
      <c r="C24" s="5" t="inlineStr">
        <is>
          <t>Código</t>
        </is>
      </c>
      <c r="D24" s="5" t="inlineStr">
        <is>
          <t>netlify: quita el comando ignore que cancelaba todos los builds del frontend</t>
        </is>
      </c>
      <c r="E24" s="5" t="inlineStr"/>
    </row>
    <row r="25">
      <c r="A25" s="5" t="inlineStr">
        <is>
          <t>2026-10-13</t>
        </is>
      </c>
      <c r="B25" s="5" t="inlineStr">
        <is>
          <t>ad75ea7</t>
        </is>
      </c>
      <c r="C25" s="5" t="inlineStr">
        <is>
          <t>Seguridad</t>
        </is>
      </c>
      <c r="D25" s="5" t="inlineStr">
        <is>
          <t>fase 6 (tanda 1): base del rediseno "Confianza calida", inicio en bento grid, detalle con ficha y verificacion unificada</t>
        </is>
      </c>
      <c r="E25" s="5" t="inlineStr"/>
    </row>
    <row r="26">
      <c r="A26" s="5" t="inlineStr">
        <is>
          <t>2026-10-13</t>
        </is>
      </c>
      <c r="B26" s="5" t="inlineStr">
        <is>
          <t>1a7aad7</t>
        </is>
      </c>
      <c r="C26" s="5" t="inlineStr">
        <is>
          <t>Seguridad</t>
        </is>
      </c>
      <c r="D26" s="5" t="inlineStr">
        <is>
          <t>fase 6 (tanda 2): acceso en dos paneles, mensajes y publicar con columna lateral, perfil con atajos, animacion de verificacion y copy veraz</t>
        </is>
      </c>
      <c r="E26" s="5" t="inlineStr"/>
    </row>
    <row r="27">
      <c r="A27" s="5" t="inlineStr">
        <is>
          <t>2026-10-13</t>
        </is>
      </c>
      <c r="B27" s="5" t="inlineStr">
        <is>
          <t>d3684c2</t>
        </is>
      </c>
      <c r="C27" s="5" t="inlineStr">
        <is>
          <t>Código</t>
        </is>
      </c>
      <c r="D27" s="5" t="inlineStr">
        <is>
          <t>chore: saca del repo los scripts temporales de capturas (quedan ignorados)</t>
        </is>
      </c>
      <c r="E27" s="5" t="inlineStr"/>
    </row>
    <row r="28">
      <c r="A28" s="5" t="inlineStr">
        <is>
          <t>2026-10-13</t>
        </is>
      </c>
      <c r="B28" s="5" t="inlineStr">
        <is>
          <t>dca1c5d</t>
        </is>
      </c>
      <c r="C28" s="5" t="inlineStr">
        <is>
          <t>Docs</t>
        </is>
      </c>
      <c r="D28" s="5" t="inlineStr">
        <is>
          <t>fase 6 (cierre): estado de trabajos en movil, imagenes rotas sin huecos, docs de la fase y capturas en el README</t>
        </is>
      </c>
      <c r="E28" s="5" t="inlineStr"/>
    </row>
    <row r="29">
      <c r="A29" s="5" t="inlineStr">
        <is>
          <t>2026-10-13</t>
        </is>
      </c>
      <c r="B29" s="5" t="inlineStr">
        <is>
          <t>da7ce8b</t>
        </is>
      </c>
      <c r="C29" s="5" t="inlineStr">
        <is>
          <t>Código</t>
        </is>
      </c>
      <c r="D29" s="5" t="inlineStr">
        <is>
          <t>fase 6 (estilo 2026): header a todo el ancho con menu a la derecha, inicio inmersivo y banners con imagen de fondo</t>
        </is>
      </c>
      <c r="E29" s="5" t="inlineStr"/>
    </row>
    <row r="30">
      <c r="A30" s="5" t="inlineStr">
        <is>
          <t>2026-10-13</t>
        </is>
      </c>
      <c r="B30" s="5" t="inlineStr">
        <is>
          <t>91996a5</t>
        </is>
      </c>
      <c r="C30" s="5" t="inlineStr">
        <is>
          <t>Código</t>
        </is>
      </c>
      <c r="D30" s="5" t="inlineStr">
        <is>
          <t>demo: fotos CC0 por oficio, 24 proveedores de prueba marcados como DEMO e inicio con fotos de fondo</t>
        </is>
      </c>
      <c r="E30" s="5" t="inlineStr"/>
    </row>
    <row r="31">
      <c r="A31" s="5" t="inlineStr">
        <is>
          <t>2026-10-13</t>
        </is>
      </c>
      <c r="B31" s="5" t="inlineStr">
        <is>
          <t>aa1ed62</t>
        </is>
      </c>
      <c r="C31" s="5" t="inlineStr">
        <is>
          <t>Docs</t>
        </is>
      </c>
      <c r="D31" s="5" t="inlineStr">
        <is>
          <t>docs: captura del inicio con fotos (del demo en vivo) para el README</t>
        </is>
      </c>
      <c r="E31" s="5" t="inlineStr"/>
    </row>
    <row r="32">
      <c r="A32" s="5" t="inlineStr">
        <is>
          <t>2026-10-13</t>
        </is>
      </c>
      <c r="B32" s="5" t="inlineStr">
        <is>
          <t>edb3df4</t>
        </is>
      </c>
      <c r="C32" s="5" t="inlineStr">
        <is>
          <t>Diseño</t>
        </is>
      </c>
      <c r="D32" s="5" t="inlineStr">
        <is>
          <t>Rediseño pulido: tarjetas y listas con paginador, portada con Acerca y Contacto, vista previa al publicar</t>
        </is>
      </c>
      <c r="E32" s="5" t="inlineStr"/>
    </row>
    <row r="33">
      <c r="A33" s="5" t="inlineStr">
        <is>
          <t>2026-10-13</t>
        </is>
      </c>
      <c r="B33" s="5" t="inlineStr">
        <is>
          <t>ec79a0c</t>
        </is>
      </c>
      <c r="C33" s="5" t="inlineStr">
        <is>
          <t>Código</t>
        </is>
      </c>
      <c r="D33" s="5" t="inlineStr">
        <is>
          <t>ci: quitar api-ionic-migration del disparador de tests; el despliegue es solo desde master</t>
        </is>
      </c>
      <c r="E33" s="5" t="inlineStr"/>
    </row>
    <row r="34">
      <c r="A34" s="5" t="inlineStr">
        <is>
          <t>2026-10-13</t>
        </is>
      </c>
      <c r="B34" s="5" t="inlineStr">
        <is>
          <t>55a1196</t>
        </is>
      </c>
      <c r="C34" s="5" t="inlineStr">
        <is>
          <t>Código</t>
        </is>
      </c>
      <c r="D34" s="5" t="inlineStr">
        <is>
          <t>render: redeploy desde master para crear el environment en GitHub</t>
        </is>
      </c>
      <c r="E34" s="5" t="inlineStr"/>
    </row>
    <row r="35">
      <c r="A35" s="5" t="inlineStr">
        <is>
          <t>2026-10-13</t>
        </is>
      </c>
      <c r="B35" s="5" t="inlineStr">
        <is>
          <t>a9559c2</t>
        </is>
      </c>
      <c r="C35" s="5" t="inlineStr">
        <is>
          <t>Docs</t>
        </is>
      </c>
      <c r="D35" s="5" t="inlineStr">
        <is>
          <t>docs: estado al día (fases 5-7, NVIDIA_API_KEY y DATABASE_URL cargados, despliegues en master)</t>
        </is>
      </c>
      <c r="E35" s="5" t="inlineStr"/>
    </row>
    <row r="36">
      <c r="A36" s="5" t="inlineStr">
        <is>
          <t>2026-10-13</t>
        </is>
      </c>
      <c r="B36" s="5" t="inlineStr">
        <is>
          <t>68519f6</t>
        </is>
      </c>
      <c r="C36" s="5" t="inlineStr">
        <is>
          <t>Seguridad</t>
        </is>
      </c>
      <c r="D36" s="5" t="inlineStr">
        <is>
          <t>seguridad: quitar claves admin/moderador del repo (DEMO_STAFF_PASSWORD) y hero con foto de oficios</t>
        </is>
      </c>
      <c r="E36" s="5" t="inlineStr"/>
    </row>
    <row r="37">
      <c r="A37" s="5" t="inlineStr">
        <is>
          <t>2026-10-13</t>
        </is>
      </c>
      <c r="B37" s="5" t="inlineStr">
        <is>
          <t>d20e488</t>
        </is>
      </c>
      <c r="C37" s="5" t="inlineStr">
        <is>
          <t>Docs</t>
        </is>
      </c>
      <c r="D37" s="5" t="inlineStr">
        <is>
          <t>docs: capturas nuevas del demo en vivo en el README (inicio con hero de oficios, catálogo, asistente)</t>
        </is>
      </c>
      <c r="E37" s="5" t="inlineStr"/>
    </row>
    <row r="38">
      <c r="A38" s="5" t="inlineStr">
        <is>
          <t>2026-10-13</t>
        </is>
      </c>
      <c r="B38" s="5" t="inlineStr">
        <is>
          <t>94bc174</t>
        </is>
      </c>
      <c r="C38" s="5" t="inlineStr">
        <is>
          <t>Código</t>
        </is>
      </c>
      <c r="D38" s="5" t="inlineStr">
        <is>
          <t>demo: fotos propias para Fotografía, Mecánica y Contabilidad; estado al día</t>
        </is>
      </c>
      <c r="E38" s="5" t="inlineStr"/>
    </row>
    <row r="39">
      <c r="A39" s="5" t="inlineStr">
        <is>
          <t>2026-10-13</t>
        </is>
      </c>
      <c r="B39" s="5" t="inlineStr">
        <is>
          <t>f075ac9</t>
        </is>
      </c>
      <c r="C39" s="5" t="inlineStr">
        <is>
          <t>Diseño</t>
        </is>
      </c>
      <c r="D39" s="5" t="inlineStr">
        <is>
          <t>auditoria completa: registro, privacidad, 404, SEO y rediseño de pantallas</t>
        </is>
      </c>
      <c r="E39" s="5" t="inlineStr"/>
    </row>
    <row r="40">
      <c r="A40" s="5" t="inlineStr">
        <is>
          <t>2026-10-13</t>
        </is>
      </c>
      <c r="B40" s="5" t="inlineStr">
        <is>
          <t>f498e9b</t>
        </is>
      </c>
      <c r="C40" s="5" t="inlineStr">
        <is>
          <t>Diseño</t>
        </is>
      </c>
      <c r="D40" s="5" t="inlineStr">
        <is>
          <t>mapa de contacto sin espacio vacío y CLAUDE.md con el registro de la sesión</t>
        </is>
      </c>
      <c r="E40" s="5" t="inlineStr"/>
    </row>
    <row r="41">
      <c r="A41" s="5" t="inlineStr">
        <is>
          <t>2026-10-13</t>
        </is>
      </c>
      <c r="B41" s="5" t="inlineStr">
        <is>
          <t>fed1022</t>
        </is>
      </c>
      <c r="C41" s="5" t="inlineStr">
        <is>
          <t>Diseño</t>
        </is>
      </c>
      <c r="D41" s="5" t="inlineStr">
        <is>
          <t>rediseño de contacto y de "Para proveedores" en la portada</t>
        </is>
      </c>
      <c r="E41" s="5" t="inlineStr"/>
    </row>
    <row r="42">
      <c r="A42" s="5" t="inlineStr">
        <is>
          <t>2026-10-13</t>
        </is>
      </c>
      <c r="B42" s="5" t="inlineStr">
        <is>
          <t>8204bc4</t>
        </is>
      </c>
      <c r="C42" s="5" t="inlineStr">
        <is>
          <t>Docs</t>
        </is>
      </c>
      <c r="D42" s="5" t="inlineStr">
        <is>
          <t>cierre de las fases: respuesta_bruta mínima, accesibilidad, probar_correo y docs al día</t>
        </is>
      </c>
      <c r="E42" s="5" t="inlineStr"/>
    </row>
    <row r="43">
      <c r="A43" s="5" t="inlineStr">
        <is>
          <t>2026-10-15</t>
        </is>
      </c>
      <c r="B43" s="5" t="inlineStr">
        <is>
          <t>ec75c86</t>
        </is>
      </c>
      <c r="C43" s="5" t="inlineStr">
        <is>
          <t>Código</t>
        </is>
      </c>
      <c r="D43" s="5" t="inlineStr">
        <is>
          <t>Corrige los hallazgos de la revisión externa del 2026-10-15</t>
        </is>
      </c>
      <c r="E43" s="5" t="inlineStr"/>
    </row>
    <row r="44">
      <c r="A44" s="5" t="inlineStr">
        <is>
          <t>2026-10-15</t>
        </is>
      </c>
      <c r="B44" s="5" t="inlineStr">
        <is>
          <t>704cff2</t>
        </is>
      </c>
      <c r="C44" s="5" t="inlineStr">
        <is>
          <t>Docs</t>
        </is>
      </c>
      <c r="D44" s="5" t="inlineStr">
        <is>
          <t>Documenta ADR 0006, ADR 0007 y el plan del flujo de dinero</t>
        </is>
      </c>
      <c r="E44" s="5" t="inlineStr"/>
    </row>
    <row r="45">
      <c r="A45" s="5" t="inlineStr">
        <is>
          <t>2026-10-15</t>
        </is>
      </c>
      <c r="B45" s="5" t="inlineStr">
        <is>
          <t>35432b4</t>
        </is>
      </c>
      <c r="C45" s="5" t="inlineStr">
        <is>
          <t>Seguridad</t>
        </is>
      </c>
      <c r="D45" s="5" t="inlineStr">
        <is>
          <t>Invalida los access tokens al cambiar la clave o eliminar la cuenta</t>
        </is>
      </c>
      <c r="E45" s="5" t="inlineStr"/>
    </row>
    <row r="46">
      <c r="A46" s="5" t="inlineStr">
        <is>
          <t>2026-10-15</t>
        </is>
      </c>
      <c r="B46" s="5" t="inlineStr">
        <is>
          <t>fcb392a</t>
        </is>
      </c>
      <c r="C46" s="5" t="inlineStr">
        <is>
          <t>Pagos</t>
        </is>
      </c>
      <c r="D46" s="5" t="inlineStr">
        <is>
          <t>Agrega Flow y Mercado Pago como medios de pago</t>
        </is>
      </c>
      <c r="E46" s="5" t="inlineStr"/>
    </row>
    <row r="47">
      <c r="A47" s="5" t="inlineStr">
        <is>
          <t>2026-10-16</t>
        </is>
      </c>
      <c r="B47" s="5" t="inlineStr">
        <is>
          <t>4ed007b</t>
        </is>
      </c>
      <c r="C47" s="5" t="inlineStr">
        <is>
          <t>Código</t>
        </is>
      </c>
      <c r="D47" s="5" t="inlineStr">
        <is>
          <t>Agrega cerrar sesión en todos los dispositivos con código por correo</t>
        </is>
      </c>
      <c r="E47" s="5" t="inlineStr"/>
    </row>
    <row r="48">
      <c r="A48" s="5" t="inlineStr">
        <is>
          <t>2026-10-16</t>
        </is>
      </c>
      <c r="B48" s="5" t="inlineStr">
        <is>
          <t>c687bee</t>
        </is>
      </c>
      <c r="C48" s="5" t="inlineStr">
        <is>
          <t>Pagos</t>
        </is>
      </c>
      <c r="D48" s="5" t="inlineStr">
        <is>
          <t>Agrega comisión por tramos, verificación con video y tablero de seguimiento</t>
        </is>
      </c>
      <c r="E48" s="5" t="inlineStr"/>
    </row>
    <row r="50">
      <c r="A50" s="8" t="inlineStr">
        <is>
          <t>Cada fila es un commit de master (git log). Para ver el detalle: git show &lt;commit&gt;. Agrega notas a mano si hace falta.</t>
        </is>
      </c>
    </row>
  </sheetData>
  <autoFilter ref="A1:E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0" customWidth="1" min="3" max="3"/>
    <col width="18" customWidth="1" min="4" max="4"/>
    <col width="12" customWidth="1" min="5" max="5"/>
    <col width="28" customWidth="1" min="6" max="6"/>
  </cols>
  <sheetData>
    <row r="1" ht="30" customHeight="1">
      <c r="A1" s="4" t="inlineStr">
        <is>
          <t>ID</t>
        </is>
      </c>
      <c r="B1" s="4" t="inlineStr">
        <is>
          <t>Fecha</t>
        </is>
      </c>
      <c r="C1" s="4" t="inlineStr">
        <is>
          <t>Decisión</t>
        </is>
      </c>
      <c r="D1" s="4" t="inlineStr">
        <is>
          <t>Quién</t>
        </is>
      </c>
      <c r="E1" s="4" t="inlineStr">
        <is>
          <t>Estado</t>
        </is>
      </c>
      <c r="F1" s="4" t="inlineStr">
        <is>
          <t>Referencia</t>
        </is>
      </c>
    </row>
    <row r="2">
      <c r="A2" s="5" t="inlineStr">
        <is>
          <t>D-001</t>
        </is>
      </c>
      <c r="B2" s="5" t="inlineStr">
        <is>
          <t>2026-10-11</t>
        </is>
      </c>
      <c r="C2" s="5" t="inlineStr">
        <is>
          <t>Biometría nativa como vía principal; rostro en servidor como secundaria; vía sin biometría como respaldo</t>
        </is>
      </c>
      <c r="D2" s="5" t="inlineStr">
        <is>
          <t>Dueño</t>
        </is>
      </c>
      <c r="E2" s="5" t="inlineStr">
        <is>
          <t>Aprobada</t>
        </is>
      </c>
      <c r="F2" s="5" t="inlineStr">
        <is>
          <t>docs/adr/0001</t>
        </is>
      </c>
    </row>
    <row r="3">
      <c r="A3" s="5" t="inlineStr">
        <is>
          <t>D-002</t>
        </is>
      </c>
      <c r="B3" s="5" t="inlineStr">
        <is>
          <t>2026-10-12</t>
        </is>
      </c>
      <c r="C3" s="5" t="inlineStr">
        <is>
          <t>El Moderador puede aprobar la verificación sin biometría (queda quién y cuándo)</t>
        </is>
      </c>
      <c r="D3" s="5" t="inlineStr">
        <is>
          <t>Dueño</t>
        </is>
      </c>
      <c r="E3" s="5" t="inlineStr">
        <is>
          <t>Aprobada</t>
        </is>
      </c>
      <c r="F3" s="5" t="inlineStr">
        <is>
          <t>plan-ajustes.md</t>
        </is>
      </c>
    </row>
    <row r="4">
      <c r="A4" s="5" t="inlineStr">
        <is>
          <t>D-003</t>
        </is>
      </c>
      <c r="B4" s="5" t="inlineStr">
        <is>
          <t>2026-10-12</t>
        </is>
      </c>
      <c r="C4" s="5" t="inlineStr">
        <is>
          <t>Commits en español, trabajo directo en master, tags en los hitos</t>
        </is>
      </c>
      <c r="D4" s="5" t="inlineStr">
        <is>
          <t>Dueño</t>
        </is>
      </c>
      <c r="E4" s="5" t="inlineStr">
        <is>
          <t>Aprobada</t>
        </is>
      </c>
      <c r="F4" s="5" t="inlineStr">
        <is>
          <t>plan-ajustes.md</t>
        </is>
      </c>
    </row>
    <row r="5">
      <c r="A5" s="5" t="inlineStr">
        <is>
          <t>D-004</t>
        </is>
      </c>
      <c r="B5" s="5" t="inlineStr">
        <is>
          <t>2026-10-12</t>
        </is>
      </c>
      <c r="C5" s="5" t="inlineStr">
        <is>
          <t>Vector facial cifrado en reposo; verificación vigente 180 días</t>
        </is>
      </c>
      <c r="D5" s="5" t="inlineStr">
        <is>
          <t>Dueño</t>
        </is>
      </c>
      <c r="E5" s="5" t="inlineStr">
        <is>
          <t>Aprobada</t>
        </is>
      </c>
      <c r="F5" s="5" t="inlineStr">
        <is>
          <t>docs/adr/0002, 0003</t>
        </is>
      </c>
    </row>
    <row r="6">
      <c r="A6" s="5" t="inlineStr">
        <is>
          <t>D-005</t>
        </is>
      </c>
      <c r="B6" s="5" t="inlineStr">
        <is>
          <t>2026-10-13</t>
        </is>
      </c>
      <c r="C6" s="5" t="inlineStr">
        <is>
          <t>Postula a Corfo como persona natural; ingresos por comisión sobre cada servicio pagado</t>
        </is>
      </c>
      <c r="D6" s="5" t="inlineStr">
        <is>
          <t>Dueño</t>
        </is>
      </c>
      <c r="E6" s="5" t="inlineStr">
        <is>
          <t>Aprobada</t>
        </is>
      </c>
      <c r="F6" s="5" t="inlineStr">
        <is>
          <t>ESTADO_Y_PROXIMOS_PASOS.md</t>
        </is>
      </c>
    </row>
    <row r="7">
      <c r="A7" s="5" t="inlineStr">
        <is>
          <t>D-006</t>
        </is>
      </c>
      <c r="B7" s="5" t="inlineStr">
        <is>
          <t>2026-10-15</t>
        </is>
      </c>
      <c r="C7" s="5" t="inlineStr">
        <is>
          <t>Eliminar la cuenta bloquea y espera 15 días antes de anonimizar (por quejas o problemas entre las partes)</t>
        </is>
      </c>
      <c r="D7" s="5" t="inlineStr">
        <is>
          <t>Dueño</t>
        </is>
      </c>
      <c r="E7" s="5" t="inlineStr">
        <is>
          <t>Aprobada</t>
        </is>
      </c>
      <c r="F7" s="5" t="inlineStr">
        <is>
          <t>docs/adr/0007</t>
        </is>
      </c>
    </row>
    <row r="8">
      <c r="A8" s="5" t="inlineStr">
        <is>
          <t>D-007</t>
        </is>
      </c>
      <c r="B8" s="5" t="inlineStr">
        <is>
          <t>2026-10-15</t>
        </is>
      </c>
      <c r="C8" s="5" t="inlineStr">
        <is>
          <t>Las solicitudes sin respuesta expiran (7 días, ajustable) y se avisa por correo a ambas partes</t>
        </is>
      </c>
      <c r="D8" s="5" t="inlineStr">
        <is>
          <t>Dueño</t>
        </is>
      </c>
      <c r="E8" s="5" t="inlineStr">
        <is>
          <t>Aprobada</t>
        </is>
      </c>
      <c r="F8" s="5" t="inlineStr">
        <is>
          <t>docs/adr/0007</t>
        </is>
      </c>
    </row>
    <row r="9">
      <c r="A9" s="5" t="inlineStr">
        <is>
          <t>D-008</t>
        </is>
      </c>
      <c r="B9" s="5" t="inlineStr">
        <is>
          <t>2026-10-15</t>
        </is>
      </c>
      <c r="C9" s="5" t="inlineStr">
        <is>
          <t>Verificación nativa solo reconfirma a quien ya tiene documento aprobado (opción c)</t>
        </is>
      </c>
      <c r="D9" s="5" t="inlineStr">
        <is>
          <t>Dueño</t>
        </is>
      </c>
      <c r="E9" s="5" t="inlineStr">
        <is>
          <t>Aprobada</t>
        </is>
      </c>
      <c r="F9" s="5" t="inlineStr">
        <is>
          <t>docs/adr/0006</t>
        </is>
      </c>
    </row>
    <row r="10">
      <c r="A10" s="5" t="inlineStr">
        <is>
          <t>D-009</t>
        </is>
      </c>
      <c r="B10" s="5" t="inlineStr">
        <is>
          <t>2026-10-15</t>
        </is>
      </c>
      <c r="C10" s="5" t="inlineStr">
        <is>
          <t>Cerrar sesión en todos los dispositivos exige un código enviado al correo</t>
        </is>
      </c>
      <c r="D10" s="5" t="inlineStr">
        <is>
          <t>Dueño</t>
        </is>
      </c>
      <c r="E10" s="5" t="inlineStr">
        <is>
          <t>Aprobada</t>
        </is>
      </c>
      <c r="F10" s="5" t="inlineStr">
        <is>
          <t>ESTADO_Y_PROXIMOS_PASOS.md</t>
        </is>
      </c>
    </row>
    <row r="11">
      <c r="A11" s="5" t="inlineStr">
        <is>
          <t>D-010</t>
        </is>
      </c>
      <c r="B11" s="5" t="inlineStr">
        <is>
          <t>2026-10-16</t>
        </is>
      </c>
      <c r="C11" s="5" t="inlineStr">
        <is>
          <t>Comisión por tramos que paga el cliente encima del precio; valores por defecto 6/5/4,5/4 % con mínimo $1.000 (los de 5/4/3,5/3 % pierden plata con tarjeta)</t>
        </is>
      </c>
      <c r="D11" s="5" t="inlineStr">
        <is>
          <t>Claude (propuesta)</t>
        </is>
      </c>
      <c r="E11" s="5" t="inlineStr">
        <is>
          <t>Propuesta</t>
        </is>
      </c>
      <c r="F11" s="5" t="inlineStr">
        <is>
          <t>ANALISIS_COMISION.md</t>
        </is>
      </c>
    </row>
    <row r="12">
      <c r="A12" s="5" t="inlineStr">
        <is>
          <t>D-011</t>
        </is>
      </c>
      <c r="B12" s="5" t="inlineStr">
        <is>
          <t>2026-10-16</t>
        </is>
      </c>
      <c r="C12" s="5" t="inlineStr">
        <is>
          <t>Verificación sin biometría con video corto + cédula revisados por un moderador; el video se borra al resolver (30 días si nadie lo resuelve)</t>
        </is>
      </c>
      <c r="D12" s="5" t="inlineStr">
        <is>
          <t>Dueño / Claude</t>
        </is>
      </c>
      <c r="E12" s="5" t="inlineStr">
        <is>
          <t>Aprobada</t>
        </is>
      </c>
      <c r="F12" s="5" t="inlineStr">
        <is>
          <t>docs/adr/0006</t>
        </is>
      </c>
    </row>
    <row r="13">
      <c r="A13" s="5" t="inlineStr">
        <is>
          <t>D-012</t>
        </is>
      </c>
      <c r="B13" s="5" t="inlineStr">
        <is>
          <t>2026-10-16</t>
        </is>
      </c>
      <c r="C13" s="5" t="inlineStr">
        <is>
          <t>Flow y Mercado Pago como medios de pago adicionales (sandbox gratis); Khipu sigue sin sandbox</t>
        </is>
      </c>
      <c r="D13" s="5" t="inlineStr">
        <is>
          <t>Dueño</t>
        </is>
      </c>
      <c r="E13" s="5" t="inlineStr">
        <is>
          <t>Aprobada</t>
        </is>
      </c>
      <c r="F13" s="5" t="inlineStr">
        <is>
          <t>ESTADO_Y_PROXIMOS_PASOS.md</t>
        </is>
      </c>
    </row>
    <row r="14">
      <c r="A14" s="5" t="inlineStr">
        <is>
          <t>D-013</t>
        </is>
      </c>
      <c r="B14" s="5" t="inlineStr"/>
      <c r="C14" s="5" t="inlineStr">
        <is>
          <t>Qué evidencia se conserva para la policía y por cuánto tiempo</t>
        </is>
      </c>
      <c r="D14" s="5" t="inlineStr">
        <is>
          <t>Dueño + abogado</t>
        </is>
      </c>
      <c r="E14" s="5" t="inlineStr">
        <is>
          <t>Pendiente</t>
        </is>
      </c>
      <c r="F14" s="5" t="inlineStr">
        <is>
          <t>docs/adr/0007</t>
        </is>
      </c>
    </row>
    <row r="15">
      <c r="A15" s="5" t="inlineStr">
        <is>
          <t>D-014</t>
        </is>
      </c>
      <c r="B15" s="5" t="inlineStr"/>
      <c r="C15" s="5" t="inlineStr">
        <is>
          <t>Opción de prueba real del dispositivo para la verificación nativa (a, a-lite, b)</t>
        </is>
      </c>
      <c r="D15" s="5" t="inlineStr">
        <is>
          <t>Dueño</t>
        </is>
      </c>
      <c r="E15" s="5" t="inlineStr">
        <is>
          <t>Pendiente</t>
        </is>
      </c>
      <c r="F15" s="5" t="inlineStr">
        <is>
          <t>docs/adr/0006</t>
        </is>
      </c>
    </row>
    <row r="16">
      <c r="A16" s="5" t="inlineStr">
        <is>
          <t>D-015</t>
        </is>
      </c>
      <c r="B16" s="5" t="inlineStr"/>
      <c r="C16" s="5" t="inlineStr">
        <is>
          <t>Recaudar y transferir, Webpay Mall o split de pagos</t>
        </is>
      </c>
      <c r="D16" s="5" t="inlineStr">
        <is>
          <t>Dueño + abogado</t>
        </is>
      </c>
      <c r="E16" s="5" t="inlineStr">
        <is>
          <t>Pendiente</t>
        </is>
      </c>
      <c r="F16" s="5" t="inlineStr">
        <is>
          <t>PLAN_FLUJO_DE_DINERO.md</t>
        </is>
      </c>
    </row>
  </sheetData>
  <autoFilter ref="A1:F16"/>
  <dataValidations count="1">
    <dataValidation sqref="E2:E200" showDropDown="0" showInputMessage="0" showErrorMessage="0" allowBlank="1" type="list">
      <formula1>"Aprobada,Propuesta,Pendiente,Descartada"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50" customWidth="1" min="5" max="5"/>
  </cols>
  <sheetData>
    <row r="1" ht="30" customHeight="1">
      <c r="A1" s="4" t="inlineStr">
        <is>
          <t>Tema</t>
        </is>
      </c>
      <c r="B1" s="4" t="inlineStr">
        <is>
          <t>Qué hay que hacer</t>
        </is>
      </c>
      <c r="C1" s="4" t="inlineStr">
        <is>
          <t>Listo</t>
        </is>
      </c>
      <c r="D1" s="4" t="inlineStr">
        <is>
          <t>Fecha</t>
        </is>
      </c>
      <c r="E1" s="4" t="inlineStr">
        <is>
          <t>Notas</t>
        </is>
      </c>
    </row>
    <row r="2">
      <c r="A2" s="5" t="inlineStr">
        <is>
          <t>SMTP real</t>
        </is>
      </c>
      <c r="B2" s="5" t="inlineStr">
        <is>
          <t>Crear la cuenta que enviará los correos y cargar SMTP_HOST/PORT/USER/PASSWORD y DJANGO_DEFAULT_FROM_EMAIL en .env y en Render</t>
        </is>
      </c>
      <c r="C2" s="6" t="inlineStr">
        <is>
          <t>No</t>
        </is>
      </c>
      <c r="D2" s="6" t="inlineStr"/>
      <c r="E2" s="5" t="inlineStr">
        <is>
          <t>Sin esto no llega ningún código ni aviso</t>
        </is>
      </c>
    </row>
    <row r="3">
      <c r="A3" s="5" t="inlineStr">
        <is>
          <t>Sandbox Flow</t>
        </is>
      </c>
      <c r="B3" s="5" t="inlineStr">
        <is>
          <t>Cuenta en sandbox.flow.cl; copiar ApiKey y SecretKey</t>
        </is>
      </c>
      <c r="C3" s="6" t="inlineStr">
        <is>
          <t>No</t>
        </is>
      </c>
      <c r="D3" s="6" t="inlineStr"/>
      <c r="E3" s="5" t="inlineStr">
        <is>
          <t>Escribirlas tú, nunca en el chat</t>
        </is>
      </c>
    </row>
    <row r="4">
      <c r="A4" s="5" t="inlineStr">
        <is>
          <t>Sandbox Mercado Pago</t>
        </is>
      </c>
      <c r="B4" s="5" t="inlineStr">
        <is>
          <t>Aplicación en el panel de desarrolladores de Mercado Pago Chile; copiar el Access Token de prueba</t>
        </is>
      </c>
      <c r="C4" s="6" t="inlineStr">
        <is>
          <t>No</t>
        </is>
      </c>
      <c r="D4" s="6" t="inlineStr"/>
      <c r="E4" s="5" t="inlineStr"/>
    </row>
    <row r="5">
      <c r="A5" s="5" t="inlineStr">
        <is>
          <t>Probar pagos</t>
        </is>
      </c>
      <c r="B5" s="5" t="inlineStr">
        <is>
          <t>Pago de punta a punta con cada pasarela (Mercado Pago contra Render)</t>
        </is>
      </c>
      <c r="C5" s="6" t="inlineStr">
        <is>
          <t>No</t>
        </is>
      </c>
      <c r="D5" s="6" t="inlineStr"/>
      <c r="E5" s="5" t="inlineStr">
        <is>
          <t>Avisar el error si falla</t>
        </is>
      </c>
    </row>
    <row r="6">
      <c r="A6" s="5" t="inlineStr">
        <is>
          <t>Claves de producción</t>
        </is>
      </c>
      <c r="B6" s="5" t="inlineStr">
        <is>
          <t>DJANGO_SECRET_KEY, JWT_SECRET, BIOMETRIC_ENCRYPTION_KEYS en Render</t>
        </is>
      </c>
      <c r="C6" s="6" t="inlineStr">
        <is>
          <t>No</t>
        </is>
      </c>
      <c r="D6" s="6" t="inlineStr"/>
      <c r="E6" s="5" t="inlineStr">
        <is>
          <t>Mirar las advertencias keyserv.W001-W003 en el log del deploy</t>
        </is>
      </c>
    </row>
    <row r="7">
      <c r="A7" s="5" t="inlineStr">
        <is>
          <t>Comisión</t>
        </is>
      </c>
      <c r="B7" s="5" t="inlineStr">
        <is>
          <t>Elegir tramos finales con las tarifas confirmadas de cada pasarela</t>
        </is>
      </c>
      <c r="C7" s="6" t="inlineStr">
        <is>
          <t>No</t>
        </is>
      </c>
      <c r="D7" s="6" t="inlineStr"/>
      <c r="E7" s="5" t="inlineStr">
        <is>
          <t>Hoja Comision</t>
        </is>
      </c>
    </row>
    <row r="8">
      <c r="A8" s="5" t="inlineStr">
        <is>
          <t>Recorrido manual</t>
        </is>
      </c>
      <c r="B8" s="5" t="inlineStr">
        <is>
          <t>Probar en pantalla: eliminar cuenta, cancelar/rechazar, cerrar sesiones, reembolso, verificación con video con un moderador</t>
        </is>
      </c>
      <c r="C8" s="6" t="inlineStr">
        <is>
          <t>No</t>
        </is>
      </c>
      <c r="D8" s="6" t="inlineStr"/>
      <c r="E8" s="5" t="inlineStr">
        <is>
          <t>Hoja Pruebas</t>
        </is>
      </c>
    </row>
    <row r="9">
      <c r="A9" s="5" t="inlineStr">
        <is>
          <t>Moderador</t>
        </is>
      </c>
      <c r="B9" s="5" t="inlineStr">
        <is>
          <t>Crear la cuenta de moderador real que revisará videos y cédulas (grupo Moderador)</t>
        </is>
      </c>
      <c r="C9" s="6" t="inlineStr">
        <is>
          <t>No</t>
        </is>
      </c>
      <c r="D9" s="6" t="inlineStr"/>
      <c r="E9" s="5" t="inlineStr">
        <is>
          <t>manage.py configurar_grupo_moderador</t>
        </is>
      </c>
    </row>
    <row r="10">
      <c r="A10" s="5" t="inlineStr">
        <is>
          <t>Abogado</t>
        </is>
      </c>
      <c r="B10" s="5" t="inlineStr">
        <is>
          <t>Consentimiento biométrico y de video, EIPD, evidencia para investigaciones, Términos y Condiciones, custodia de fondos</t>
        </is>
      </c>
      <c r="C10" s="6" t="inlineStr">
        <is>
          <t>No</t>
        </is>
      </c>
      <c r="D10" s="6" t="inlineStr"/>
      <c r="E10" s="5" t="inlineStr">
        <is>
          <t>ADR 0006, 0007 y plan de dinero</t>
        </is>
      </c>
    </row>
    <row r="11">
      <c r="A11" s="5" t="inlineStr">
        <is>
          <t>Contador</t>
        </is>
      </c>
      <c r="B11" s="5" t="inlineStr">
        <is>
          <t>IVA de la comisión, boletas/facturas, inicio de actividades</t>
        </is>
      </c>
      <c r="C11" s="6" t="inlineStr">
        <is>
          <t>No</t>
        </is>
      </c>
      <c r="D11" s="6" t="inlineStr"/>
      <c r="E11" s="5" t="inlineStr">
        <is>
          <t>Plan de dinero §4</t>
        </is>
      </c>
    </row>
    <row r="12">
      <c r="A12" s="5" t="inlineStr">
        <is>
          <t>Keystore Android</t>
        </is>
      </c>
      <c r="B12" s="5" t="inlineStr">
        <is>
          <t>Respaldar keyserv-release.keystore y keystore.properties fuera del repo</t>
        </is>
      </c>
      <c r="C12" s="6" t="inlineStr">
        <is>
          <t>No</t>
        </is>
      </c>
      <c r="D12" s="6" t="inlineStr"/>
      <c r="E12" s="5" t="inlineStr"/>
    </row>
    <row r="13">
      <c r="A13" s="5" t="inlineStr">
        <is>
          <t>NVIDIA</t>
        </is>
      </c>
      <c r="B13" s="5" t="inlineStr">
        <is>
          <t>Revisar si el plan gratuito permite producción y declarar el envío de texto fuera de Chile</t>
        </is>
      </c>
      <c r="C13" s="6" t="inlineStr">
        <is>
          <t>No</t>
        </is>
      </c>
      <c r="D13" s="6" t="inlineStr"/>
      <c r="E13" s="5" t="inlineStr"/>
    </row>
    <row r="14">
      <c r="A14" s="5" t="inlineStr">
        <is>
          <t>Corfo</t>
        </is>
      </c>
      <c r="B14" s="5" t="inlineStr">
        <is>
          <t>Programa, bases, encuesta Google Forms, presupuesto, equipo, video demo</t>
        </is>
      </c>
      <c r="C14" s="6" t="inlineStr">
        <is>
          <t>No</t>
        </is>
      </c>
      <c r="D14" s="6" t="inlineStr"/>
      <c r="E14" s="5" t="inlineStr"/>
    </row>
  </sheetData>
  <autoFilter ref="A1:E14"/>
  <conditionalFormatting sqref="A2:E200">
    <cfRule type="expression" priority="1" dxfId="0">
      <formula>$C2="Sí"</formula>
    </cfRule>
  </conditionalFormatting>
  <dataValidations count="1">
    <dataValidation sqref="C2:C200" showDropDown="0" showInputMessage="0" showErrorMessage="0" allowBlank="1" type="list">
      <formula1>"No,En curso,Sí"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14" customWidth="1" min="3" max="3"/>
    <col width="12" customWidth="1" min="4" max="4"/>
    <col width="10" customWidth="1" min="5" max="5"/>
    <col width="80" customWidth="1" min="6" max="6"/>
    <col width="12" customWidth="1" min="7" max="7"/>
  </cols>
  <sheetData>
    <row r="1" ht="30" customHeight="1">
      <c r="A1" s="4" t="inlineStr">
        <is>
          <t>N°</t>
        </is>
      </c>
      <c r="B1" s="4" t="inlineStr">
        <is>
          <t>Riesgo</t>
        </is>
      </c>
      <c r="C1" s="4" t="inlineStr">
        <is>
          <t>Probabilidad (1-5)</t>
        </is>
      </c>
      <c r="D1" s="4" t="inlineStr">
        <is>
          <t>Impacto (1-5)</t>
        </is>
      </c>
      <c r="E1" s="4" t="inlineStr">
        <is>
          <t>Puntaje</t>
        </is>
      </c>
      <c r="F1" s="4" t="inlineStr">
        <is>
          <t>Mitigación</t>
        </is>
      </c>
      <c r="G1" s="4" t="inlineStr">
        <is>
          <t>Estado</t>
        </is>
      </c>
    </row>
    <row r="2">
      <c r="A2" s="5" t="n">
        <v>1</v>
      </c>
      <c r="B2" s="5" t="inlineStr">
        <is>
          <t>Pagos nunca probados en sandbox real (Flow, Mercado Pago, Khipu)</t>
        </is>
      </c>
      <c r="C2" s="6" t="n">
        <v>4</v>
      </c>
      <c r="D2" s="6" t="n">
        <v>3</v>
      </c>
      <c r="E2" s="5">
        <f>C2*D2</f>
        <v/>
      </c>
      <c r="F2" s="5" t="inlineStr">
        <is>
          <t>Probar con cuentas de sandbox antes de mostrar; hasta entonces no se ofrecen (solo aparecen si hay claves)</t>
        </is>
      </c>
      <c r="G2" s="6" t="inlineStr">
        <is>
          <t>Abierto</t>
        </is>
      </c>
    </row>
    <row r="3">
      <c r="A3" s="5" t="n">
        <v>2</v>
      </c>
      <c r="B3" s="5" t="inlineStr">
        <is>
          <t>Correos no llegan en el demo (sin SMTP)</t>
        </is>
      </c>
      <c r="C3" s="6" t="n">
        <v>5</v>
      </c>
      <c r="D3" s="6" t="n">
        <v>3</v>
      </c>
      <c r="E3" s="5">
        <f>C3*D3</f>
        <v/>
      </c>
      <c r="F3" s="5" t="inlineStr">
        <is>
          <t>Configurar SMTP real; probar con probar_correo</t>
        </is>
      </c>
      <c r="G3" s="6" t="inlineStr">
        <is>
          <t>Abierto</t>
        </is>
      </c>
    </row>
    <row r="4">
      <c r="A4" s="5" t="n">
        <v>3</v>
      </c>
      <c r="B4" s="5" t="inlineStr">
        <is>
          <t>"Identidad verificada" promete más de lo que prueba</t>
        </is>
      </c>
      <c r="C4" s="6" t="n">
        <v>4</v>
      </c>
      <c r="D4" s="6" t="n">
        <v>5</v>
      </c>
      <c r="E4" s="5">
        <f>C4*D4</f>
        <v/>
      </c>
      <c r="F4" s="5" t="inlineStr">
        <is>
          <t>Verificación con video + cédula revisada por una persona; decidir el texto; ADR 0006</t>
        </is>
      </c>
      <c r="G4" s="6" t="inlineStr">
        <is>
          <t>Mitigando</t>
        </is>
      </c>
    </row>
    <row r="5">
      <c r="A5" s="5" t="n">
        <v>4</v>
      </c>
      <c r="B5" s="5" t="inlineStr">
        <is>
          <t>Claves de producción con valores por defecto</t>
        </is>
      </c>
      <c r="C5" s="6" t="n">
        <v>3</v>
      </c>
      <c r="D5" s="6" t="n">
        <v>5</v>
      </c>
      <c r="E5" s="5">
        <f>C5*D5</f>
        <v/>
      </c>
      <c r="F5" s="5" t="inlineStr">
        <is>
          <t>Fijarlas en Render; los avisos W001-W003 lo recuerdan en cada deploy</t>
        </is>
      </c>
      <c r="G5" s="6" t="inlineStr">
        <is>
          <t>Abierto</t>
        </is>
      </c>
    </row>
    <row r="6">
      <c r="A6" s="5" t="n">
        <v>5</v>
      </c>
      <c r="B6" s="5" t="inlineStr">
        <is>
          <t>Comisión menor al costo de la pasarela (pérdida con tarjeta en montos altos)</t>
        </is>
      </c>
      <c r="C6" s="6" t="n">
        <v>4</v>
      </c>
      <c r="D6" s="6" t="n">
        <v>4</v>
      </c>
      <c r="E6" s="5">
        <f>C6*D6</f>
        <v/>
      </c>
      <c r="F6" s="5" t="inlineStr">
        <is>
          <t>Tramos por defecto 6/5/4,5/4 %; promover transferencias; hoja Comision</t>
        </is>
      </c>
      <c r="G6" s="6" t="inlineStr">
        <is>
          <t>Mitigando</t>
        </is>
      </c>
    </row>
    <row r="7">
      <c r="A7" s="5" t="n">
        <v>6</v>
      </c>
      <c r="B7" s="5" t="inlineStr">
        <is>
          <t>Custodia de fondos de terceros sin encuadre legal (Ley Fintech)</t>
        </is>
      </c>
      <c r="C7" s="6" t="n">
        <v>3</v>
      </c>
      <c r="D7" s="6" t="n">
        <v>5</v>
      </c>
      <c r="E7" s="5">
        <f>C7*D7</f>
        <v/>
      </c>
      <c r="F7" s="5" t="inlineStr">
        <is>
          <t>Consulta a un abogado antes de cobrar dinero real</t>
        </is>
      </c>
      <c r="G7" s="6" t="inlineStr">
        <is>
          <t>Abierto</t>
        </is>
      </c>
    </row>
    <row r="8">
      <c r="A8" s="5" t="n">
        <v>7</v>
      </c>
      <c r="B8" s="5" t="inlineStr">
        <is>
          <t>Video de verificación es un dato sensible</t>
        </is>
      </c>
      <c r="C8" s="6" t="n">
        <v>3</v>
      </c>
      <c r="D8" s="6" t="n">
        <v>5</v>
      </c>
      <c r="E8" s="5">
        <f>C8*D8</f>
        <v/>
      </c>
      <c r="F8" s="5" t="inlineStr">
        <is>
          <t>Consentimiento explícito, almacenamiento privado, borrado al resolver y a los 30 días, solo staff; revisión legal</t>
        </is>
      </c>
      <c r="G8" s="6" t="inlineStr">
        <is>
          <t>Mitigando</t>
        </is>
      </c>
    </row>
    <row r="9">
      <c r="A9" s="5" t="n">
        <v>8</v>
      </c>
      <c r="B9" s="5" t="inlineStr">
        <is>
          <t>Un solo operador para verificaciones, derechos del titular y reembolsos</t>
        </is>
      </c>
      <c r="C9" s="6" t="n">
        <v>4</v>
      </c>
      <c r="D9" s="6" t="n">
        <v>3</v>
      </c>
      <c r="E9" s="5">
        <f>C9*D9</f>
        <v/>
      </c>
      <c r="F9" s="5" t="inlineStr">
        <is>
          <t>Panel con KPI; documentar procedimientos; sumar moderadores</t>
        </is>
      </c>
      <c r="G9" s="6" t="inlineStr">
        <is>
          <t>Abierto</t>
        </is>
      </c>
    </row>
    <row r="10">
      <c r="A10" s="5" t="n">
        <v>9</v>
      </c>
      <c r="B10" s="5" t="inlineStr">
        <is>
          <t>Pérdida del keystore de Android</t>
        </is>
      </c>
      <c r="C10" s="6" t="n">
        <v>2</v>
      </c>
      <c r="D10" s="6" t="n">
        <v>5</v>
      </c>
      <c r="E10" s="5">
        <f>C10*D10</f>
        <v/>
      </c>
      <c r="F10" s="5" t="inlineStr">
        <is>
          <t>Respaldo fuera del repo</t>
        </is>
      </c>
      <c r="G10" s="6" t="inlineStr">
        <is>
          <t>Abierto</t>
        </is>
      </c>
    </row>
    <row r="11">
      <c r="A11" s="5" t="n">
        <v>10</v>
      </c>
      <c r="B11" s="5" t="inlineStr">
        <is>
          <t>Evidencia para la policía se borra por la retención (chats a 90 días)</t>
        </is>
      </c>
      <c r="C11" s="6" t="n">
        <v>3</v>
      </c>
      <c r="D11" s="6" t="n">
        <v>4</v>
      </c>
      <c r="E11" s="5">
        <f>C11*D11</f>
        <v/>
      </c>
      <c r="F11" s="5" t="inlineStr">
        <is>
          <t>Decidir con abogado un "legal hold"; ADR 0007</t>
        </is>
      </c>
      <c r="G11" s="6" t="inlineStr">
        <is>
          <t>Abierto</t>
        </is>
      </c>
    </row>
    <row r="12">
      <c r="A12" s="5" t="n">
        <v>11</v>
      </c>
      <c r="B12" s="5" t="inlineStr">
        <is>
          <t>Complejidad creciente (dos frontends, muchas piezas) para una sola persona</t>
        </is>
      </c>
      <c r="C12" s="6" t="n">
        <v>4</v>
      </c>
      <c r="D12" s="6" t="n">
        <v>3</v>
      </c>
      <c r="E12" s="5">
        <f>C12*D12</f>
        <v/>
      </c>
      <c r="F12" s="5" t="inlineStr">
        <is>
          <t>Consolidar antes de sumar funciones; retirar plantillas Django por área</t>
        </is>
      </c>
      <c r="G12" s="6" t="inlineStr">
        <is>
          <t>Abierto</t>
        </is>
      </c>
    </row>
    <row r="14">
      <c r="B14" s="8" t="inlineStr">
        <is>
          <t>Puntaje = probabilidad x impacto (rojo desde 15, amarillo desde 8).</t>
        </is>
      </c>
    </row>
  </sheetData>
  <autoFilter ref="A1:G12"/>
  <conditionalFormatting sqref="E2:E12">
    <cfRule type="expression" priority="1" dxfId="1">
      <formula>E2&gt;=15</formula>
    </cfRule>
    <cfRule type="expression" priority="2" dxfId="2">
      <formula>AND(E2&gt;=8,E2&lt;15)</formula>
    </cfRule>
  </conditionalFormatting>
  <dataValidations count="1">
    <dataValidation sqref="G2:G200" showDropDown="0" showInputMessage="0" showErrorMessage="0" allowBlank="1" type="list">
      <formula1>"Abierto,Mitigando,Cerrado"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4" customWidth="1" min="2" max="2"/>
    <col width="14" customWidth="1" min="3" max="3"/>
    <col width="20" customWidth="1" min="4" max="4"/>
    <col width="20" customWidth="1" min="5" max="5"/>
    <col width="20" customWidth="1" min="6" max="6"/>
    <col width="20" customWidth="1" min="7" max="7"/>
    <col width="22" customWidth="1" min="8" max="8"/>
  </cols>
  <sheetData>
    <row r="1">
      <c r="A1" s="1" t="inlineStr">
        <is>
          <t>Calculadora de comisión y margen por transacción</t>
        </is>
      </c>
    </row>
    <row r="2" ht="30" customHeight="1">
      <c r="A2" s="9" t="inlineStr">
        <is>
          <t>La comisión se cobra ENCIMA del precio: el cliente paga servicio + comisión, el proveedor recibe el servicio. Margen = comisión sin IVA − costo de la pasarela. Cifras en CLP. Las tarifas son de terceros (oct. 2026): confírmalas.</t>
        </is>
      </c>
    </row>
    <row r="4">
      <c r="A4" s="10" t="inlineStr">
        <is>
          <t>Comisión mínima (CLP)</t>
        </is>
      </c>
      <c r="B4" s="11" t="n">
        <v>1000</v>
      </c>
    </row>
    <row r="5">
      <c r="A5" s="10" t="inlineStr">
        <is>
          <t>IVA</t>
        </is>
      </c>
      <c r="B5" s="12" t="n">
        <v>0.19</v>
      </c>
    </row>
    <row r="6">
      <c r="A6" s="10" t="inlineStr">
        <is>
          <t>¿IVA de la pasarela recuperable? (1 = sí, 0 = no)</t>
        </is>
      </c>
      <c r="B6" s="13" t="n">
        <v>1</v>
      </c>
    </row>
    <row r="8">
      <c r="A8" s="14" t="inlineStr">
        <is>
          <t>Tramo: hasta (CLP)</t>
        </is>
      </c>
      <c r="B8" s="14" t="inlineStr">
        <is>
          <t>Comisión (%)</t>
        </is>
      </c>
    </row>
    <row r="9">
      <c r="A9" s="11" t="n">
        <v>50000</v>
      </c>
      <c r="B9" s="15" t="n">
        <v>0.06</v>
      </c>
    </row>
    <row r="10">
      <c r="A10" s="11" t="n">
        <v>200000</v>
      </c>
      <c r="B10" s="15" t="n">
        <v>0.05</v>
      </c>
    </row>
    <row r="11">
      <c r="A11" s="11" t="n">
        <v>500000</v>
      </c>
      <c r="B11" s="15" t="n">
        <v>0.045</v>
      </c>
    </row>
    <row r="12">
      <c r="A12" s="10" t="inlineStr">
        <is>
          <t>Sobre el tramo anterior</t>
        </is>
      </c>
      <c r="B12" s="15" t="n">
        <v>0.04</v>
      </c>
    </row>
    <row r="14">
      <c r="A14" s="14" t="inlineStr">
        <is>
          <t>Medio de pago</t>
        </is>
      </c>
      <c r="B14" s="14" t="inlineStr">
        <is>
          <t>% sobre el total</t>
        </is>
      </c>
      <c r="C14" s="14" t="inlineStr">
        <is>
          <t>Fijo (CLP)</t>
        </is>
      </c>
    </row>
    <row r="15">
      <c r="A15" s="10" t="inlineStr">
        <is>
          <t>Webpay débito/prepago</t>
        </is>
      </c>
      <c r="B15" s="16" t="n">
        <v>0.0175</v>
      </c>
      <c r="C15" s="11" t="n">
        <v>0</v>
      </c>
    </row>
    <row r="16">
      <c r="A16" s="10" t="inlineStr">
        <is>
          <t>Webpay crédito</t>
        </is>
      </c>
      <c r="B16" s="16" t="n">
        <v>0.0235</v>
      </c>
      <c r="C16" s="11" t="n">
        <v>0</v>
      </c>
    </row>
    <row r="17">
      <c r="A17" s="10" t="inlineStr">
        <is>
          <t>Flow tarjeta</t>
        </is>
      </c>
      <c r="B17" s="16" t="n">
        <v>0.0289</v>
      </c>
      <c r="C17" s="11" t="n">
        <v>0</v>
      </c>
    </row>
    <row r="18">
      <c r="A18" s="10" t="inlineStr">
        <is>
          <t>Transferencia (Flow/Khipu)</t>
        </is>
      </c>
      <c r="B18" s="16" t="n">
        <v>0.009900000000000001</v>
      </c>
      <c r="C18" s="11" t="n">
        <v>100</v>
      </c>
    </row>
    <row r="19">
      <c r="A19" s="8" t="inlineStr">
        <is>
          <t>Fuente de las tarifas: guías de terceros (Digitalízame, Comocobro, guía de Flow), octubre 2026; sin IVA. Confirmar con cada pasarela.</t>
        </is>
      </c>
    </row>
    <row r="21">
      <c r="A21" s="2" t="inlineStr">
        <is>
          <t>Margen por transacción (CLP)</t>
        </is>
      </c>
    </row>
    <row r="22">
      <c r="A22" s="17" t="inlineStr">
        <is>
          <t>Precio del servicio</t>
        </is>
      </c>
      <c r="B22" s="17" t="inlineStr">
        <is>
          <t>% aplicado</t>
        </is>
      </c>
      <c r="C22" s="17" t="inlineStr">
        <is>
          <t>Comisión</t>
        </is>
      </c>
      <c r="D22" s="17" t="inlineStr">
        <is>
          <t>Total que paga el cliente</t>
        </is>
      </c>
      <c r="E22" s="17">
        <f>A15</f>
        <v/>
      </c>
      <c r="F22" s="17">
        <f>A16</f>
        <v/>
      </c>
      <c r="G22" s="17">
        <f>A17</f>
        <v/>
      </c>
      <c r="H22" s="17">
        <f>A18</f>
        <v/>
      </c>
    </row>
    <row r="23">
      <c r="A23" s="11" t="n">
        <v>20000</v>
      </c>
      <c r="B23" s="18">
        <f>IF(A23&lt;=$A$9,$B$9,IF(A23&lt;=$A$10,$B$10,IF(A23&lt;=$A$11,$B$11,$B$12)))</f>
        <v/>
      </c>
      <c r="C23" s="19">
        <f>MAX(ROUND(A23*B23,0),$B$4)</f>
        <v/>
      </c>
      <c r="D23" s="19">
        <f>A23+C23</f>
        <v/>
      </c>
      <c r="E23" s="19">
        <f>C23/(1+$B$5)-(D23*$B$15+$C$15)*IF($B$6=1,1,1+$B$5)</f>
        <v/>
      </c>
      <c r="F23" s="19">
        <f>C23/(1+$B$5)-(D23*$B$16+$C$16)*IF($B$6=1,1,1+$B$5)</f>
        <v/>
      </c>
      <c r="G23" s="19">
        <f>C23/(1+$B$5)-(D23*$B$17+$C$17)*IF($B$6=1,1,1+$B$5)</f>
        <v/>
      </c>
      <c r="H23" s="19">
        <f>C23/(1+$B$5)-(D23*$B$18+$C$18)*IF($B$6=1,1,1+$B$5)</f>
        <v/>
      </c>
    </row>
    <row r="24">
      <c r="A24" s="11" t="n">
        <v>50000</v>
      </c>
      <c r="B24" s="18">
        <f>IF(A24&lt;=$A$9,$B$9,IF(A24&lt;=$A$10,$B$10,IF(A24&lt;=$A$11,$B$11,$B$12)))</f>
        <v/>
      </c>
      <c r="C24" s="19">
        <f>MAX(ROUND(A24*B24,0),$B$4)</f>
        <v/>
      </c>
      <c r="D24" s="19">
        <f>A24+C24</f>
        <v/>
      </c>
      <c r="E24" s="19">
        <f>C24/(1+$B$5)-(D24*$B$15+$C$15)*IF($B$6=1,1,1+$B$5)</f>
        <v/>
      </c>
      <c r="F24" s="19">
        <f>C24/(1+$B$5)-(D24*$B$16+$C$16)*IF($B$6=1,1,1+$B$5)</f>
        <v/>
      </c>
      <c r="G24" s="19">
        <f>C24/(1+$B$5)-(D24*$B$17+$C$17)*IF($B$6=1,1,1+$B$5)</f>
        <v/>
      </c>
      <c r="H24" s="19">
        <f>C24/(1+$B$5)-(D24*$B$18+$C$18)*IF($B$6=1,1,1+$B$5)</f>
        <v/>
      </c>
    </row>
    <row r="25">
      <c r="A25" s="11" t="n">
        <v>100000</v>
      </c>
      <c r="B25" s="18">
        <f>IF(A25&lt;=$A$9,$B$9,IF(A25&lt;=$A$10,$B$10,IF(A25&lt;=$A$11,$B$11,$B$12)))</f>
        <v/>
      </c>
      <c r="C25" s="19">
        <f>MAX(ROUND(A25*B25,0),$B$4)</f>
        <v/>
      </c>
      <c r="D25" s="19">
        <f>A25+C25</f>
        <v/>
      </c>
      <c r="E25" s="19">
        <f>C25/(1+$B$5)-(D25*$B$15+$C$15)*IF($B$6=1,1,1+$B$5)</f>
        <v/>
      </c>
      <c r="F25" s="19">
        <f>C25/(1+$B$5)-(D25*$B$16+$C$16)*IF($B$6=1,1,1+$B$5)</f>
        <v/>
      </c>
      <c r="G25" s="19">
        <f>C25/(1+$B$5)-(D25*$B$17+$C$17)*IF($B$6=1,1,1+$B$5)</f>
        <v/>
      </c>
      <c r="H25" s="19">
        <f>C25/(1+$B$5)-(D25*$B$18+$C$18)*IF($B$6=1,1,1+$B$5)</f>
        <v/>
      </c>
    </row>
    <row r="26">
      <c r="A26" s="11" t="n">
        <v>300000</v>
      </c>
      <c r="B26" s="18">
        <f>IF(A26&lt;=$A$9,$B$9,IF(A26&lt;=$A$10,$B$10,IF(A26&lt;=$A$11,$B$11,$B$12)))</f>
        <v/>
      </c>
      <c r="C26" s="19">
        <f>MAX(ROUND(A26*B26,0),$B$4)</f>
        <v/>
      </c>
      <c r="D26" s="19">
        <f>A26+C26</f>
        <v/>
      </c>
      <c r="E26" s="19">
        <f>C26/(1+$B$5)-(D26*$B$15+$C$15)*IF($B$6=1,1,1+$B$5)</f>
        <v/>
      </c>
      <c r="F26" s="19">
        <f>C26/(1+$B$5)-(D26*$B$16+$C$16)*IF($B$6=1,1,1+$B$5)</f>
        <v/>
      </c>
      <c r="G26" s="19">
        <f>C26/(1+$B$5)-(D26*$B$17+$C$17)*IF($B$6=1,1,1+$B$5)</f>
        <v/>
      </c>
      <c r="H26" s="19">
        <f>C26/(1+$B$5)-(D26*$B$18+$C$18)*IF($B$6=1,1,1+$B$5)</f>
        <v/>
      </c>
    </row>
    <row r="27">
      <c r="A27" s="11" t="n">
        <v>600000</v>
      </c>
      <c r="B27" s="18">
        <f>IF(A27&lt;=$A$9,$B$9,IF(A27&lt;=$A$10,$B$10,IF(A27&lt;=$A$11,$B$11,$B$12)))</f>
        <v/>
      </c>
      <c r="C27" s="19">
        <f>MAX(ROUND(A27*B27,0),$B$4)</f>
        <v/>
      </c>
      <c r="D27" s="19">
        <f>A27+C27</f>
        <v/>
      </c>
      <c r="E27" s="19">
        <f>C27/(1+$B$5)-(D27*$B$15+$C$15)*IF($B$6=1,1,1+$B$5)</f>
        <v/>
      </c>
      <c r="F27" s="19">
        <f>C27/(1+$B$5)-(D27*$B$16+$C$16)*IF($B$6=1,1,1+$B$5)</f>
        <v/>
      </c>
      <c r="G27" s="19">
        <f>C27/(1+$B$5)-(D27*$B$17+$C$17)*IF($B$6=1,1,1+$B$5)</f>
        <v/>
      </c>
      <c r="H27" s="19">
        <f>C27/(1+$B$5)-(D27*$B$18+$C$18)*IF($B$6=1,1,1+$B$5)</f>
        <v/>
      </c>
    </row>
    <row r="28">
      <c r="A28" s="11" t="n">
        <v>1000000</v>
      </c>
      <c r="B28" s="18">
        <f>IF(A28&lt;=$A$9,$B$9,IF(A28&lt;=$A$10,$B$10,IF(A28&lt;=$A$11,$B$11,$B$12)))</f>
        <v/>
      </c>
      <c r="C28" s="19">
        <f>MAX(ROUND(A28*B28,0),$B$4)</f>
        <v/>
      </c>
      <c r="D28" s="19">
        <f>A28+C28</f>
        <v/>
      </c>
      <c r="E28" s="19">
        <f>C28/(1+$B$5)-(D28*$B$15+$C$15)*IF($B$6=1,1,1+$B$5)</f>
        <v/>
      </c>
      <c r="F28" s="19">
        <f>C28/(1+$B$5)-(D28*$B$16+$C$16)*IF($B$6=1,1,1+$B$5)</f>
        <v/>
      </c>
      <c r="G28" s="19">
        <f>C28/(1+$B$5)-(D28*$B$17+$C$17)*IF($B$6=1,1,1+$B$5)</f>
        <v/>
      </c>
      <c r="H28" s="19">
        <f>C28/(1+$B$5)-(D28*$B$18+$C$18)*IF($B$6=1,1,1+$B$5)</f>
        <v/>
      </c>
    </row>
    <row r="30">
      <c r="A30" s="8" t="inlineStr">
        <is>
          <t>Rojo = KeyServ pierde plata en esa combinación. Es margen bruto: no incluye hosting, revisión de identidad, soporte ni impuesto a la renta. Cambia los valores azules para probar otros tramos.</t>
        </is>
      </c>
    </row>
    <row r="31">
      <c r="A31" s="8" t="inlineStr">
        <is>
          <t>Para aplicar tramos distintos en el sistema: variable de entorno COMISION_TRAMOS (JSON) y COMISION_MINIMA; ver docs/ANALISIS_COMISION.md.</t>
        </is>
      </c>
    </row>
  </sheetData>
  <mergeCells count="1">
    <mergeCell ref="A2:H2"/>
  </mergeCells>
  <conditionalFormatting sqref="E23:H28">
    <cfRule type="expression" priority="1" dxfId="1">
      <formula>E23&lt;0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2" customWidth="1" min="2" max="2"/>
    <col width="16" customWidth="1" min="3" max="3"/>
    <col width="14" customWidth="1" min="4" max="4"/>
    <col width="16" customWidth="1" min="5" max="5"/>
    <col width="60" customWidth="1" min="6" max="6"/>
  </cols>
  <sheetData>
    <row r="1">
      <c r="A1" s="1" t="inlineStr">
        <is>
          <t>Presupuesto con supuestos (para Corfo)</t>
        </is>
      </c>
    </row>
    <row r="2">
      <c r="A2" s="8" t="inlineStr">
        <is>
          <t>Completa las celdas amarillas. Escribe de dónde sale cada número en la última columna: Corfo pide supuestos escritos.</t>
        </is>
      </c>
    </row>
    <row r="3">
      <c r="A3" s="10" t="inlineStr">
        <is>
          <t>Tipo de cambio USD → CLP</t>
        </is>
      </c>
      <c r="B3" s="11" t="n"/>
      <c r="F3" s="8" t="inlineStr">
        <is>
          <t>Completa con el valor del día; las filas en USD se convierten con este número.</t>
        </is>
      </c>
    </row>
    <row r="5" ht="30" customHeight="1">
      <c r="A5" s="17" t="inlineStr">
        <is>
          <t>Concepto</t>
        </is>
      </c>
      <c r="B5" s="17" t="inlineStr">
        <is>
          <t>Moneda</t>
        </is>
      </c>
      <c r="C5" s="17" t="inlineStr">
        <is>
          <t>Monto unitario</t>
        </is>
      </c>
      <c r="D5" s="17" t="inlineStr">
        <is>
          <t>Cantidad (meses o unidades)</t>
        </is>
      </c>
      <c r="E5" s="17" t="inlineStr">
        <is>
          <t>Total (CLP)</t>
        </is>
      </c>
      <c r="F5" s="17" t="inlineStr">
        <is>
          <t>Supuesto / fuente</t>
        </is>
      </c>
    </row>
    <row r="6">
      <c r="A6" s="5" t="inlineStr">
        <is>
          <t>Cuenta de desarrollador de Google Play (pago único)</t>
        </is>
      </c>
      <c r="B6" s="6" t="inlineStr">
        <is>
          <t>USD</t>
        </is>
      </c>
      <c r="C6" s="20" t="n">
        <v>25</v>
      </c>
      <c r="D6" s="20" t="n">
        <v>1</v>
      </c>
      <c r="E6" s="21">
        <f>IF(C6="","",C6*D6*IF(B6="USD",$B$3,1))</f>
        <v/>
      </c>
      <c r="F6" s="5" t="inlineStr">
        <is>
          <t>Ejemplo ya completado: tarifa de registro de Google Play Console, pago único.</t>
        </is>
      </c>
    </row>
    <row r="7">
      <c r="A7" s="5" t="inlineStr">
        <is>
          <t>Cuenta de desarrollador de Apple (anual)</t>
        </is>
      </c>
      <c r="B7" s="6" t="inlineStr">
        <is>
          <t>USD</t>
        </is>
      </c>
      <c r="C7" s="20" t="n">
        <v>99</v>
      </c>
      <c r="D7" s="20" t="n">
        <v>1</v>
      </c>
      <c r="E7" s="21">
        <f>IF(C7="","",C7*D7*IF(B7="USD",$B$3,1))</f>
        <v/>
      </c>
      <c r="F7" s="5" t="inlineStr">
        <is>
          <t>Ejemplo ya completado: membresía anual del Apple Developer Program. Solo si se publica en iOS.</t>
        </is>
      </c>
    </row>
    <row r="8">
      <c r="A8" s="5" t="inlineStr">
        <is>
          <t>Hosting del backend (Render)</t>
        </is>
      </c>
      <c r="B8" s="6" t="inlineStr">
        <is>
          <t>CLP</t>
        </is>
      </c>
      <c r="C8" s="20" t="n"/>
      <c r="D8" s="20" t="n">
        <v>12</v>
      </c>
      <c r="E8" s="21">
        <f>IF(C8="","",C8*D8*IF(B8="USD",$B$3,1))</f>
        <v/>
      </c>
      <c r="F8" s="5" t="inlineStr">
        <is>
          <t>Completar: plan de pago cuando se salga del plan gratuito.</t>
        </is>
      </c>
    </row>
    <row r="9">
      <c r="A9" s="5" t="inlineStr">
        <is>
          <t>Base de datos (Neon)</t>
        </is>
      </c>
      <c r="B9" s="6" t="inlineStr">
        <is>
          <t>CLP</t>
        </is>
      </c>
      <c r="C9" s="20" t="n"/>
      <c r="D9" s="20" t="n">
        <v>12</v>
      </c>
      <c r="E9" s="21">
        <f>IF(C9="","",C9*D9*IF(B9="USD",$B$3,1))</f>
        <v/>
      </c>
      <c r="F9" s="5" t="inlineStr">
        <is>
          <t>Completar</t>
        </is>
      </c>
    </row>
    <row r="10">
      <c r="A10" s="5" t="inlineStr">
        <is>
          <t>Hosting del frontend (Netlify)</t>
        </is>
      </c>
      <c r="B10" s="6" t="inlineStr">
        <is>
          <t>CLP</t>
        </is>
      </c>
      <c r="C10" s="20" t="n"/>
      <c r="D10" s="20" t="n">
        <v>12</v>
      </c>
      <c r="E10" s="21">
        <f>IF(C10="","",C10*D10*IF(B10="USD",$B$3,1))</f>
        <v/>
      </c>
      <c r="F10" s="5" t="inlineStr">
        <is>
          <t>Completar</t>
        </is>
      </c>
    </row>
    <row r="11">
      <c r="A11" s="5" t="inlineStr">
        <is>
          <t>Dominio .cl</t>
        </is>
      </c>
      <c r="B11" s="6" t="inlineStr">
        <is>
          <t>CLP</t>
        </is>
      </c>
      <c r="C11" s="20" t="n"/>
      <c r="D11" s="20" t="n">
        <v>1</v>
      </c>
      <c r="E11" s="21">
        <f>IF(C11="","",C11*D11*IF(B11="USD",$B$3,1))</f>
        <v/>
      </c>
      <c r="F11" s="5" t="inlineStr">
        <is>
          <t>Completar (renovación anual)</t>
        </is>
      </c>
    </row>
    <row r="12">
      <c r="A12" s="5" t="inlineStr">
        <is>
          <t>Correo transaccional (SMTP)</t>
        </is>
      </c>
      <c r="B12" s="6" t="inlineStr">
        <is>
          <t>CLP</t>
        </is>
      </c>
      <c r="C12" s="20" t="n"/>
      <c r="D12" s="20" t="n">
        <v>12</v>
      </c>
      <c r="E12" s="21">
        <f>IF(C12="","",C12*D12*IF(B12="USD",$B$3,1))</f>
        <v/>
      </c>
      <c r="F12" s="5" t="inlineStr">
        <is>
          <t>Completar</t>
        </is>
      </c>
    </row>
    <row r="13">
      <c r="A13" s="5" t="inlineStr">
        <is>
          <t>Abogado (revisión legal, Términos, EIPD)</t>
        </is>
      </c>
      <c r="B13" s="6" t="inlineStr">
        <is>
          <t>CLP</t>
        </is>
      </c>
      <c r="C13" s="20" t="n"/>
      <c r="D13" s="20" t="n">
        <v>1</v>
      </c>
      <c r="E13" s="21">
        <f>IF(C13="","",C13*D13*IF(B13="USD",$B$3,1))</f>
        <v/>
      </c>
      <c r="F13" s="5" t="inlineStr">
        <is>
          <t>Completar con cotización</t>
        </is>
      </c>
    </row>
    <row r="14">
      <c r="A14" s="5" t="inlineStr">
        <is>
          <t>Contador (inicio de actividades, boletas)</t>
        </is>
      </c>
      <c r="B14" s="6" t="inlineStr">
        <is>
          <t>CLP</t>
        </is>
      </c>
      <c r="C14" s="20" t="n"/>
      <c r="D14" s="20" t="n">
        <v>12</v>
      </c>
      <c r="E14" s="21">
        <f>IF(C14="","",C14*D14*IF(B14="USD",$B$3,1))</f>
        <v/>
      </c>
      <c r="F14" s="5" t="inlineStr">
        <is>
          <t>Completar con cotización</t>
        </is>
      </c>
    </row>
    <row r="15">
      <c r="A15" s="5" t="inlineStr">
        <is>
          <t>Moderador que revisa verificaciones</t>
        </is>
      </c>
      <c r="B15" s="6" t="inlineStr">
        <is>
          <t>CLP</t>
        </is>
      </c>
      <c r="C15" s="20" t="n"/>
      <c r="D15" s="20" t="n">
        <v>12</v>
      </c>
      <c r="E15" s="21">
        <f>IF(C15="","",C15*D15*IF(B15="USD",$B$3,1))</f>
        <v/>
      </c>
      <c r="F15" s="5" t="inlineStr">
        <is>
          <t>Completar: horas por mes x valor hora</t>
        </is>
      </c>
    </row>
    <row r="16">
      <c r="A16" s="5" t="inlineStr">
        <is>
          <t>Desarrollo (horas)</t>
        </is>
      </c>
      <c r="B16" s="6" t="inlineStr">
        <is>
          <t>CLP</t>
        </is>
      </c>
      <c r="C16" s="20" t="n"/>
      <c r="D16" s="20" t="n">
        <v>1</v>
      </c>
      <c r="E16" s="21">
        <f>IF(C16="","",C16*D16*IF(B16="USD",$B$3,1))</f>
        <v/>
      </c>
      <c r="F16" s="5" t="inlineStr">
        <is>
          <t>Completar</t>
        </is>
      </c>
    </row>
    <row r="17">
      <c r="A17" s="5" t="inlineStr">
        <is>
          <t>Marketing / captación de proveedores</t>
        </is>
      </c>
      <c r="B17" s="6" t="inlineStr">
        <is>
          <t>CLP</t>
        </is>
      </c>
      <c r="C17" s="20" t="n"/>
      <c r="D17" s="20" t="n">
        <v>1</v>
      </c>
      <c r="E17" s="21">
        <f>IF(C17="","",C17*D17*IF(B17="USD",$B$3,1))</f>
        <v/>
      </c>
      <c r="F17" s="5" t="inlineStr">
        <is>
          <t>Completar</t>
        </is>
      </c>
    </row>
    <row r="18">
      <c r="A18" s="2" t="inlineStr">
        <is>
          <t>Total</t>
        </is>
      </c>
      <c r="E18" s="22">
        <f>SUM(E6:E17)</f>
        <v/>
      </c>
    </row>
  </sheetData>
  <dataValidations count="1">
    <dataValidation sqref="B6:B67" showDropDown="0" showInputMessage="0" showErrorMessage="0" allowBlank="1" type="list">
      <formula1>"CLP,USD"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50" customWidth="1" min="3" max="3"/>
    <col width="50" customWidth="1" min="4" max="4"/>
    <col width="60" customWidth="1" min="5" max="5"/>
    <col width="12" customWidth="1" min="6" max="6"/>
    <col width="14" customWidth="1" min="7" max="7"/>
    <col width="40" customWidth="1" min="8" max="8"/>
  </cols>
  <sheetData>
    <row r="1" ht="30" customHeight="1">
      <c r="A1" s="4" t="inlineStr">
        <is>
          <t>ID</t>
        </is>
      </c>
      <c r="B1" s="4" t="inlineStr">
        <is>
          <t>Área</t>
        </is>
      </c>
      <c r="C1" s="4" t="inlineStr">
        <is>
          <t>Caso</t>
        </is>
      </c>
      <c r="D1" s="4" t="inlineStr">
        <is>
          <t>Pasos</t>
        </is>
      </c>
      <c r="E1" s="4" t="inlineStr">
        <is>
          <t>Resultado esperado</t>
        </is>
      </c>
      <c r="F1" s="4" t="inlineStr">
        <is>
          <t>Resultado</t>
        </is>
      </c>
      <c r="G1" s="4" t="inlineStr">
        <is>
          <t>Fecha</t>
        </is>
      </c>
      <c r="H1" s="4" t="inlineStr">
        <is>
          <t>Notas</t>
        </is>
      </c>
    </row>
    <row r="2">
      <c r="A2" s="5" t="inlineStr">
        <is>
          <t>P-001</t>
        </is>
      </c>
      <c r="B2" s="5" t="inlineStr">
        <is>
          <t>Cuenta</t>
        </is>
      </c>
      <c r="C2" s="5" t="inlineStr">
        <is>
          <t>Registro con RUT válido, teléfono de 9 dígitos y política aceptada</t>
        </is>
      </c>
      <c r="D2" s="5" t="inlineStr">
        <is>
          <t>Completar el formulario de /registro</t>
        </is>
      </c>
      <c r="E2" s="5" t="inlineStr">
        <is>
          <t>Cuenta creada; RUT inválido o repetido se rechaza con mensaje claro</t>
        </is>
      </c>
      <c r="F2" s="6" t="inlineStr"/>
      <c r="G2" s="6" t="inlineStr"/>
      <c r="H2" s="6" t="inlineStr"/>
    </row>
    <row r="3">
      <c r="A3" s="5" t="inlineStr">
        <is>
          <t>P-002</t>
        </is>
      </c>
      <c r="B3" s="5" t="inlineStr">
        <is>
          <t>Cuenta</t>
        </is>
      </c>
      <c r="C3" s="5" t="inlineStr">
        <is>
          <t>Login y logout; login con clave mala</t>
        </is>
      </c>
      <c r="D3" s="5" t="inlineStr">
        <is>
          <t>Ingresar con clave correcta e incorrecta</t>
        </is>
      </c>
      <c r="E3" s="5" t="inlineStr">
        <is>
          <t>Entra con la correcta; la incorrecta da error; tras varios fallos se bloquea</t>
        </is>
      </c>
      <c r="F3" s="6" t="inlineStr"/>
      <c r="G3" s="6" t="inlineStr"/>
      <c r="H3" s="6" t="inlineStr"/>
    </row>
    <row r="4">
      <c r="A4" s="5" t="inlineStr">
        <is>
          <t>P-003</t>
        </is>
      </c>
      <c r="B4" s="5" t="inlineStr">
        <is>
          <t>Cuenta</t>
        </is>
      </c>
      <c r="C4" s="5" t="inlineStr">
        <is>
          <t>Recuperar contraseña</t>
        </is>
      </c>
      <c r="D4" s="5" t="inlineStr">
        <is>
          <t>¿Olvidaste tu contraseña? → correo → enlace</t>
        </is>
      </c>
      <c r="E4" s="5" t="inlineStr">
        <is>
          <t>Llega el correo (requiere SMTP) y la clave nueva funciona; las otras sesiones se cierran</t>
        </is>
      </c>
      <c r="F4" s="6" t="inlineStr"/>
      <c r="G4" s="6" t="inlineStr"/>
      <c r="H4" s="6" t="inlineStr"/>
    </row>
    <row r="5">
      <c r="A5" s="5" t="inlineStr">
        <is>
          <t>P-004</t>
        </is>
      </c>
      <c r="B5" s="5" t="inlineStr">
        <is>
          <t>Cuenta</t>
        </is>
      </c>
      <c r="C5" s="5" t="inlineStr">
        <is>
          <t>Cambiar contraseña desde Preferencias</t>
        </is>
      </c>
      <c r="D5" s="5" t="inlineStr">
        <is>
          <t>Preferencias → cambiar contraseña</t>
        </is>
      </c>
      <c r="E5" s="5" t="inlineStr">
        <is>
          <t>Se cambia, sigues dentro y llega un aviso por correo</t>
        </is>
      </c>
      <c r="F5" s="6" t="inlineStr"/>
      <c r="G5" s="6" t="inlineStr"/>
      <c r="H5" s="6" t="inlineStr"/>
    </row>
    <row r="6">
      <c r="A6" s="5" t="inlineStr">
        <is>
          <t>P-005</t>
        </is>
      </c>
      <c r="B6" s="5" t="inlineStr">
        <is>
          <t>Cuenta</t>
        </is>
      </c>
      <c r="C6" s="5" t="inlineStr">
        <is>
          <t>Cerrar sesión en todos los dispositivos</t>
        </is>
      </c>
      <c r="D6" s="5" t="inlineStr">
        <is>
          <t>Preferencias → Seguridad de la sesión → pedir código → ingresarlo</t>
        </is>
      </c>
      <c r="E6" s="5" t="inlineStr">
        <is>
          <t>Llega el código; con el correcto se cierran todas las sesiones y vuelves al login</t>
        </is>
      </c>
      <c r="F6" s="6" t="inlineStr"/>
      <c r="G6" s="6" t="inlineStr"/>
      <c r="H6" s="6" t="inlineStr"/>
    </row>
    <row r="7">
      <c r="A7" s="5" t="inlineStr">
        <is>
          <t>P-006</t>
        </is>
      </c>
      <c r="B7" s="5" t="inlineStr">
        <is>
          <t>Cuenta</t>
        </is>
      </c>
      <c r="C7" s="5" t="inlineStr">
        <is>
          <t>Eliminar cuenta con espera de 15 días</t>
        </is>
      </c>
      <c r="D7" s="5" t="inlineStr">
        <is>
          <t>Preferencias → Eliminar mi cuenta → contraseña</t>
        </is>
      </c>
      <c r="E7" s="5" t="inlineStr">
        <is>
          <t>La cuenta queda bloqueada con fecha de eliminación; sus solicitudes sin confirmar se cancelan; con un trabajo confirmado se rechaza</t>
        </is>
      </c>
      <c r="F7" s="6" t="inlineStr"/>
      <c r="G7" s="6" t="inlineStr"/>
      <c r="H7" s="6" t="inlineStr"/>
    </row>
    <row r="8">
      <c r="A8" s="5" t="inlineStr">
        <is>
          <t>P-007</t>
        </is>
      </c>
      <c r="B8" s="5" t="inlineStr">
        <is>
          <t>Cuenta</t>
        </is>
      </c>
      <c r="C8" s="5" t="inlineStr">
        <is>
          <t>Cancelar la eliminación</t>
        </is>
      </c>
      <c r="D8" s="5" t="inlineStr">
        <is>
          <t>Mis datos → desbloquear el tratamiento</t>
        </is>
      </c>
      <c r="E8" s="5" t="inlineStr">
        <is>
          <t>Desaparece la fecha de eliminación</t>
        </is>
      </c>
      <c r="F8" s="6" t="inlineStr"/>
      <c r="G8" s="6" t="inlineStr"/>
      <c r="H8" s="6" t="inlineStr"/>
    </row>
    <row r="9">
      <c r="A9" s="5" t="inlineStr">
        <is>
          <t>P-008</t>
        </is>
      </c>
      <c r="B9" s="5" t="inlineStr">
        <is>
          <t>Catálogo</t>
        </is>
      </c>
      <c r="C9" s="5" t="inlineStr">
        <is>
          <t>Buscar, filtrar y abrir un servicio</t>
        </is>
      </c>
      <c r="D9" s="5" t="inlineStr">
        <is>
          <t>/catalogo, buscar, abrir un detalle</t>
        </is>
      </c>
      <c r="E9" s="5" t="inlineStr">
        <is>
          <t>Resultados correctos y detalle completo</t>
        </is>
      </c>
      <c r="F9" s="6" t="inlineStr"/>
      <c r="G9" s="6" t="inlineStr"/>
      <c r="H9" s="6" t="inlineStr"/>
    </row>
    <row r="10">
      <c r="A10" s="5" t="inlineStr">
        <is>
          <t>P-009</t>
        </is>
      </c>
      <c r="B10" s="5" t="inlineStr">
        <is>
          <t>Proveedor</t>
        </is>
      </c>
      <c r="C10" s="5" t="inlineStr">
        <is>
          <t>Publicar un servicio con fotos</t>
        </is>
      </c>
      <c r="D10" s="5" t="inlineStr">
        <is>
          <t>Crear publicación</t>
        </is>
      </c>
      <c r="E10" s="5" t="inlineStr">
        <is>
          <t>Queda pendiente de moderación; el moderador la aprueba</t>
        </is>
      </c>
      <c r="F10" s="6" t="inlineStr"/>
      <c r="G10" s="6" t="inlineStr"/>
      <c r="H10" s="6" t="inlineStr"/>
    </row>
    <row r="11">
      <c r="A11" s="5" t="inlineStr">
        <is>
          <t>P-010</t>
        </is>
      </c>
      <c r="B11" s="5" t="inlineStr">
        <is>
          <t>Contratación</t>
        </is>
      </c>
      <c r="C11" s="5" t="inlineStr">
        <is>
          <t>Solicitar un servicio</t>
        </is>
      </c>
      <c r="D11" s="5" t="inlineStr">
        <is>
          <t>Cliente → Contratar</t>
        </is>
      </c>
      <c r="E11" s="5" t="inlineStr">
        <is>
          <t>Se crea la solicitud; el proveedor recibe aviso (y correo si hay SMTP)</t>
        </is>
      </c>
      <c r="F11" s="6" t="inlineStr"/>
      <c r="G11" s="6" t="inlineStr"/>
      <c r="H11" s="6" t="inlineStr"/>
    </row>
    <row r="12">
      <c r="A12" s="5" t="inlineStr">
        <is>
          <t>P-011</t>
        </is>
      </c>
      <c r="B12" s="5" t="inlineStr">
        <is>
          <t>Contratación</t>
        </is>
      </c>
      <c r="C12" s="5" t="inlineStr">
        <is>
          <t>Rechazar (proveedor) y cancelar (cliente) antes de pagar</t>
        </is>
      </c>
      <c r="D12" s="5" t="inlineStr">
        <is>
          <t>Botones en el detalle del trabajo</t>
        </is>
      </c>
      <c r="E12" s="5" t="inlineStr">
        <is>
          <t>Estado Cancelada, mensaje en el chat y aviso a la otra parte</t>
        </is>
      </c>
      <c r="F12" s="6" t="inlineStr"/>
      <c r="G12" s="6" t="inlineStr"/>
      <c r="H12" s="6" t="inlineStr"/>
    </row>
    <row r="13">
      <c r="A13" s="5" t="inlineStr">
        <is>
          <t>P-012</t>
        </is>
      </c>
      <c r="B13" s="5" t="inlineStr">
        <is>
          <t>Contratación</t>
        </is>
      </c>
      <c r="C13" s="5" t="inlineStr">
        <is>
          <t>Expiración de solicitudes sin respuesta</t>
        </is>
      </c>
      <c r="D13" s="5" t="inlineStr">
        <is>
          <t>manage.py expirar_solicitudes --dias 0 (en local)</t>
        </is>
      </c>
      <c r="E13" s="5" t="inlineStr">
        <is>
          <t>Las solicitudes pasan a Cancelada y se avisa a ambos</t>
        </is>
      </c>
      <c r="F13" s="6" t="inlineStr"/>
      <c r="G13" s="6" t="inlineStr"/>
      <c r="H13" s="6" t="inlineStr"/>
    </row>
    <row r="14">
      <c r="A14" s="5" t="inlineStr">
        <is>
          <t>P-013</t>
        </is>
      </c>
      <c r="B14" s="5" t="inlineStr">
        <is>
          <t>Contratación</t>
        </is>
      </c>
      <c r="C14" s="5" t="inlineStr">
        <is>
          <t>Confirmar con monto y ver la comisión</t>
        </is>
      </c>
      <c r="D14" s="5" t="inlineStr">
        <is>
          <t>Proveedor confirma; cliente abre el detalle</t>
        </is>
      </c>
      <c r="E14" s="5" t="inlineStr">
        <is>
          <t>El cliente ve servicio + comisión = total; el proveedor ve que recibe el monto completo</t>
        </is>
      </c>
      <c r="F14" s="6" t="inlineStr"/>
      <c r="G14" s="6" t="inlineStr"/>
      <c r="H14" s="6" t="inlineStr"/>
    </row>
    <row r="15">
      <c r="A15" s="5" t="inlineStr">
        <is>
          <t>P-014</t>
        </is>
      </c>
      <c r="B15" s="5" t="inlineStr">
        <is>
          <t>Pagos</t>
        </is>
      </c>
      <c r="C15" s="5" t="inlineStr">
        <is>
          <t>Pagar con Webpay (sandbox)</t>
        </is>
      </c>
      <c r="D15" s="5" t="inlineStr">
        <is>
          <t>Pagar → tarjeta de prueba de Transbank</t>
        </is>
      </c>
      <c r="E15" s="5" t="inlineStr">
        <is>
          <t>Vuelve a la app, el trabajo pasa a En curso y llegan los avisos</t>
        </is>
      </c>
      <c r="F15" s="6" t="inlineStr"/>
      <c r="G15" s="6" t="inlineStr"/>
      <c r="H15" s="6" t="inlineStr"/>
    </row>
    <row r="16">
      <c r="A16" s="5" t="inlineStr">
        <is>
          <t>P-015</t>
        </is>
      </c>
      <c r="B16" s="5" t="inlineStr">
        <is>
          <t>Pagos</t>
        </is>
      </c>
      <c r="C16" s="5" t="inlineStr">
        <is>
          <t>Recargar la página de retorno de Webpay</t>
        </is>
      </c>
      <c r="D16" s="5" t="inlineStr">
        <is>
          <t>F5 en la pantalla de resultado</t>
        </is>
      </c>
      <c r="E16" s="5" t="inlineStr">
        <is>
          <t>Sigue mostrando "aprobado"; el pago no queda rechazado</t>
        </is>
      </c>
      <c r="F16" s="6" t="inlineStr"/>
      <c r="G16" s="6" t="inlineStr"/>
      <c r="H16" s="6" t="inlineStr"/>
    </row>
    <row r="17">
      <c r="A17" s="5" t="inlineStr">
        <is>
          <t>P-016</t>
        </is>
      </c>
      <c r="B17" s="5" t="inlineStr">
        <is>
          <t>Pagos</t>
        </is>
      </c>
      <c r="C17" s="5" t="inlineStr">
        <is>
          <t>Pagar con Flow y con Mercado Pago (sandbox)</t>
        </is>
      </c>
      <c r="D17" s="5" t="inlineStr">
        <is>
          <t>Requiere las claves de sandbox</t>
        </is>
      </c>
      <c r="E17" s="5" t="inlineStr">
        <is>
          <t>Aparecen los botones solo si hay claves; el pago aprueba y el trabajo avanza</t>
        </is>
      </c>
      <c r="F17" s="6" t="inlineStr"/>
      <c r="G17" s="6" t="inlineStr"/>
      <c r="H17" s="6" t="inlineStr"/>
    </row>
    <row r="18">
      <c r="A18" s="5" t="inlineStr">
        <is>
          <t>P-017</t>
        </is>
      </c>
      <c r="B18" s="5" t="inlineStr">
        <is>
          <t>Pagos</t>
        </is>
      </c>
      <c r="C18" s="5" t="inlineStr">
        <is>
          <t>Pedir reembolso de un trabajo pagado</t>
        </is>
      </c>
      <c r="D18" s="5" t="inlineStr">
        <is>
          <t>Detalle del trabajo En curso → Pedir cancelación y reembolso</t>
        </is>
      </c>
      <c r="E18" s="5" t="inlineStr">
        <is>
          <t>Aparece "en revisión"; en /admin/ el superusuario lo ve en el KPI y lo marca como reembolsado</t>
        </is>
      </c>
      <c r="F18" s="6" t="inlineStr"/>
      <c r="G18" s="6" t="inlineStr"/>
      <c r="H18" s="6" t="inlineStr"/>
    </row>
    <row r="19">
      <c r="A19" s="5" t="inlineStr">
        <is>
          <t>P-018</t>
        </is>
      </c>
      <c r="B19" s="5" t="inlineStr">
        <is>
          <t>Verificación</t>
        </is>
      </c>
      <c r="C19" s="5" t="inlineStr">
        <is>
          <t>Vía sin biometría con video y cédula</t>
        </is>
      </c>
      <c r="D19" s="5" t="inlineStr">
        <is>
          <t>Verificación alternativa → advertencia y grabación → código → documento → video</t>
        </is>
      </c>
      <c r="E19" s="5" t="inlineStr">
        <is>
          <t>Queda pendiente de revisión; el moderador ve el video, el RUT y el código; al aprobar el video se elimina</t>
        </is>
      </c>
      <c r="F19" s="6" t="inlineStr"/>
      <c r="G19" s="6" t="inlineStr"/>
      <c r="H19" s="6" t="inlineStr"/>
    </row>
    <row r="20">
      <c r="A20" s="5" t="inlineStr">
        <is>
          <t>P-019</t>
        </is>
      </c>
      <c r="B20" s="5" t="inlineStr">
        <is>
          <t>Verificación</t>
        </is>
      </c>
      <c r="C20" s="5" t="inlineStr">
        <is>
          <t>Biometría nativa sin documento aprobado</t>
        </is>
      </c>
      <c r="D20" s="5" t="inlineStr">
        <is>
          <t>Pantalla de biometría</t>
        </is>
      </c>
      <c r="E20" s="5" t="inlineStr">
        <is>
          <t>Pide verificar antes con documento o rostro</t>
        </is>
      </c>
      <c r="F20" s="6" t="inlineStr"/>
      <c r="G20" s="6" t="inlineStr"/>
      <c r="H20" s="6" t="inlineStr"/>
    </row>
    <row r="21">
      <c r="A21" s="5" t="inlineStr">
        <is>
          <t>P-020</t>
        </is>
      </c>
      <c r="B21" s="5" t="inlineStr">
        <is>
          <t>Verificación</t>
        </is>
      </c>
      <c r="C21" s="5" t="inlineStr">
        <is>
          <t>Reconocimiento facial con parpadeo</t>
        </is>
      </c>
      <c r="D21" s="5" t="inlineStr">
        <is>
          <t>/rostro</t>
        </is>
      </c>
      <c r="E21" s="5" t="inlineStr">
        <is>
          <t>Registra y verifica con buena luz</t>
        </is>
      </c>
      <c r="F21" s="6" t="inlineStr"/>
      <c r="G21" s="6" t="inlineStr"/>
      <c r="H21" s="6" t="inlineStr"/>
    </row>
    <row r="22">
      <c r="A22" s="5" t="inlineStr">
        <is>
          <t>P-021</t>
        </is>
      </c>
      <c r="B22" s="5" t="inlineStr">
        <is>
          <t>Admin</t>
        </is>
      </c>
      <c r="C22" s="5" t="inlineStr">
        <is>
          <t>Dashboard del superusuario y del moderador</t>
        </is>
      </c>
      <c r="D22" s="5" t="inlineStr">
        <is>
          <t>/admin/</t>
        </is>
      </c>
      <c r="E22" s="5" t="inlineStr">
        <is>
          <t>El superusuario ve reembolsos y solicitudes; el moderador solo lo suyo</t>
        </is>
      </c>
      <c r="F22" s="6" t="inlineStr"/>
      <c r="G22" s="6" t="inlineStr"/>
      <c r="H22" s="6" t="inlineStr"/>
    </row>
    <row r="23">
      <c r="A23" s="5" t="inlineStr">
        <is>
          <t>P-022</t>
        </is>
      </c>
      <c r="B23" s="5" t="inlineStr">
        <is>
          <t>Admin</t>
        </is>
      </c>
      <c r="C23" s="5" t="inlineStr">
        <is>
          <t>Moderador aprueba una publicación y una verificación</t>
        </is>
      </c>
      <c r="D23" s="5" t="inlineStr">
        <is>
          <t>Admin → acciones</t>
        </is>
      </c>
      <c r="E23" s="5" t="inlineStr">
        <is>
          <t>Queda registrado quién y cuándo</t>
        </is>
      </c>
      <c r="F23" s="6" t="inlineStr"/>
      <c r="G23" s="6" t="inlineStr"/>
      <c r="H23" s="6" t="inlineStr"/>
    </row>
    <row r="24">
      <c r="A24" s="5" t="inlineStr">
        <is>
          <t>P-023</t>
        </is>
      </c>
      <c r="B24" s="5" t="inlineStr">
        <is>
          <t>Seguridad</t>
        </is>
      </c>
      <c r="C24" s="5" t="inlineStr">
        <is>
          <t>Acceder a la conversación o al video de otra persona</t>
        </is>
      </c>
      <c r="D24" s="5" t="inlineStr">
        <is>
          <t>Cambiar IDs en la URL</t>
        </is>
      </c>
      <c r="E24" s="5" t="inlineStr">
        <is>
          <t>Siempre 404 y aparece en Intentos de acceso sospechoso</t>
        </is>
      </c>
      <c r="F24" s="6" t="inlineStr"/>
      <c r="G24" s="6" t="inlineStr"/>
      <c r="H24" s="6" t="inlineStr"/>
    </row>
    <row r="25">
      <c r="A25" s="5" t="inlineStr">
        <is>
          <t>P-024</t>
        </is>
      </c>
      <c r="B25" s="5" t="inlineStr">
        <is>
          <t>Seguridad</t>
        </is>
      </c>
      <c r="C25" s="5" t="inlineStr">
        <is>
          <t>Chequeo de claves de producción</t>
        </is>
      </c>
      <c r="D25" s="5" t="inlineStr">
        <is>
          <t>manage.py check con DJANGO_DEBUG=False</t>
        </is>
      </c>
      <c r="E25" s="5" t="inlineStr">
        <is>
          <t>Avisos keyserv.W001-W003 si faltan las claves</t>
        </is>
      </c>
      <c r="F25" s="6" t="inlineStr"/>
      <c r="G25" s="6" t="inlineStr"/>
      <c r="H25" s="6" t="inlineStr"/>
    </row>
    <row r="26">
      <c r="A26" s="5" t="inlineStr">
        <is>
          <t>P-025</t>
        </is>
      </c>
      <c r="B26" s="5" t="inlineStr">
        <is>
          <t>Móvil</t>
        </is>
      </c>
      <c r="C26" s="5" t="inlineStr">
        <is>
          <t>Recorrido completo en el celular (375-390 px)</t>
        </is>
      </c>
      <c r="D26" s="5" t="inlineStr">
        <is>
          <t>Login, catálogo, contratar, chat</t>
        </is>
      </c>
      <c r="E26" s="5" t="inlineStr">
        <is>
          <t>Todo se ve y funciona sin scroll horizontal</t>
        </is>
      </c>
      <c r="F26" s="6" t="inlineStr"/>
      <c r="G26" s="6" t="inlineStr"/>
      <c r="H26" s="6" t="inlineStr"/>
    </row>
    <row r="28">
      <c r="C28" s="2" t="inlineStr">
        <is>
          <t>Resumen</t>
        </is>
      </c>
    </row>
    <row r="29">
      <c r="C29" s="10" t="inlineStr">
        <is>
          <t>OK</t>
        </is>
      </c>
      <c r="D29" s="10">
        <f>COUNTIF(F2:F26,"OK")</f>
        <v/>
      </c>
    </row>
    <row r="30">
      <c r="C30" s="10" t="inlineStr">
        <is>
          <t>Falla</t>
        </is>
      </c>
      <c r="D30" s="10">
        <f>COUNTIF(F2:F26,"Falla")</f>
        <v/>
      </c>
    </row>
    <row r="31">
      <c r="C31" s="10" t="inlineStr">
        <is>
          <t>Sin probar</t>
        </is>
      </c>
      <c r="D31" s="10">
        <f>COUNTA(A2:A26)-D29-D30</f>
        <v/>
      </c>
    </row>
  </sheetData>
  <autoFilter ref="A1:H26"/>
  <conditionalFormatting sqref="A2:H200">
    <cfRule type="expression" priority="1" dxfId="0">
      <formula>$F2="OK"</formula>
    </cfRule>
    <cfRule type="expression" priority="2" dxfId="1">
      <formula>$F2="Falla"</formula>
    </cfRule>
  </conditionalFormatting>
  <dataValidations count="1">
    <dataValidation sqref="F2:F200" showDropDown="0" showInputMessage="0" showErrorMessage="0" allowBlank="1" type="list">
      <formula1>"OK,Falla,Pendiente"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80" customWidth="1" min="3" max="3"/>
    <col width="20" customWidth="1" min="4" max="4"/>
    <col width="14" customWidth="1" min="5" max="5"/>
    <col width="50" customWidth="1" min="6" max="6"/>
    <col width="12" customWidth="1" min="7" max="7"/>
  </cols>
  <sheetData>
    <row r="1" ht="30" customHeight="1">
      <c r="A1" s="4" t="inlineStr">
        <is>
          <t>N°</t>
        </is>
      </c>
      <c r="B1" s="4" t="inlineStr">
        <is>
          <t>Tema</t>
        </is>
      </c>
      <c r="C1" s="4" t="inlineStr">
        <is>
          <t>Requisito</t>
        </is>
      </c>
      <c r="D1" s="4" t="inlineStr">
        <is>
          <t>Fuente</t>
        </is>
      </c>
      <c r="E1" s="4" t="inlineStr">
        <is>
          <t>Estado</t>
        </is>
      </c>
      <c r="F1" s="4" t="inlineStr">
        <is>
          <t>Acción</t>
        </is>
      </c>
      <c r="G1" s="4" t="inlineStr">
        <is>
          <t>Responsable</t>
        </is>
      </c>
    </row>
    <row r="2">
      <c r="A2" s="5" t="n">
        <v>1</v>
      </c>
      <c r="B2" s="5" t="inlineStr">
        <is>
          <t>Postulante</t>
        </is>
      </c>
      <c r="C2" s="5" t="inlineStr">
        <is>
          <t>Persona natural mayor de 18 años y residente en Chile</t>
        </is>
      </c>
      <c r="D2" s="5" t="inlineStr">
        <is>
          <t>Bases 4.1 a)</t>
        </is>
      </c>
      <c r="E2" s="6" t="inlineStr">
        <is>
          <t>Por verificar</t>
        </is>
      </c>
      <c r="F2" s="6" t="inlineStr">
        <is>
          <t>Elegir al beneficiario entre los tres autores</t>
        </is>
      </c>
      <c r="G2" s="6" t="inlineStr">
        <is>
          <t>Dueño</t>
        </is>
      </c>
    </row>
    <row r="3">
      <c r="A3" s="5" t="n">
        <v>2</v>
      </c>
      <c r="B3" s="5" t="inlineStr">
        <is>
          <t>Postulante</t>
        </is>
      </c>
      <c r="C3" s="5" t="inlineStr">
        <is>
          <t>No tener participación en una sociedad que ya ejecute el proyecto</t>
        </is>
      </c>
      <c r="D3" s="5" t="inlineStr">
        <is>
          <t>Bases 4.1 a)</t>
        </is>
      </c>
      <c r="E3" s="6" t="inlineStr">
        <is>
          <t>Por verificar</t>
        </is>
      </c>
      <c r="F3" s="6" t="inlineStr">
        <is>
          <t>No constituir la sociedad antes de postular</t>
        </is>
      </c>
      <c r="G3" s="6" t="inlineStr">
        <is>
          <t>Dueño</t>
        </is>
      </c>
    </row>
    <row r="4">
      <c r="A4" s="5" t="n">
        <v>3</v>
      </c>
      <c r="B4" s="5" t="inlineStr">
        <is>
          <t>Postulante</t>
        </is>
      </c>
      <c r="C4" s="5" t="inlineStr">
        <is>
          <t>No figurar en el Registro Nacional de Deudores de Pensiones de Alimentos</t>
        </is>
      </c>
      <c r="D4" s="5" t="inlineStr">
        <is>
          <t>Bases 9.1, 13.3</t>
        </is>
      </c>
      <c r="E4" s="6" t="inlineStr">
        <is>
          <t>Por verificar</t>
        </is>
      </c>
      <c r="F4" s="6" t="inlineStr">
        <is>
          <t>Cada integrante lo revisa</t>
        </is>
      </c>
      <c r="G4" s="6" t="inlineStr">
        <is>
          <t>Dueño</t>
        </is>
      </c>
    </row>
    <row r="5">
      <c r="A5" s="5" t="n">
        <v>4</v>
      </c>
      <c r="B5" s="5" t="inlineStr">
        <is>
          <t>Postulante</t>
        </is>
      </c>
      <c r="C5" s="5" t="inlineStr">
        <is>
          <t>Sin otro proyecto Corfo vigente (más de 2 meses de terminar) ni cofinanciamiento previo del mismo emprendimiento</t>
        </is>
      </c>
      <c r="D5" s="5" t="inlineStr">
        <is>
          <t>Bases 4.4</t>
        </is>
      </c>
      <c r="E5" s="6" t="inlineStr">
        <is>
          <t>Por verificar</t>
        </is>
      </c>
      <c r="F5" s="6" t="inlineStr">
        <is>
          <t>Confirmar con cada integrante</t>
        </is>
      </c>
      <c r="G5" s="6" t="inlineStr">
        <is>
          <t>Dueño</t>
        </is>
      </c>
    </row>
    <row r="6">
      <c r="A6" s="5" t="n">
        <v>5</v>
      </c>
      <c r="B6" s="5" t="inlineStr">
        <is>
          <t>Postulante</t>
        </is>
      </c>
      <c r="C6" s="5" t="inlineStr">
        <is>
          <t>Una sola postulación por persona natural en cada convocatoria</t>
        </is>
      </c>
      <c r="D6" s="5" t="inlineStr">
        <is>
          <t>Bases 4.4.2</t>
        </is>
      </c>
      <c r="E6" s="6" t="inlineStr">
        <is>
          <t>Cumple</t>
        </is>
      </c>
      <c r="F6" s="6" t="inlineStr">
        <is>
          <t>Postular una vez</t>
        </is>
      </c>
      <c r="G6" s="6" t="inlineStr">
        <is>
          <t>Dueño</t>
        </is>
      </c>
    </row>
    <row r="7">
      <c r="A7" s="5" t="n">
        <v>6</v>
      </c>
      <c r="B7" s="5" t="inlineStr">
        <is>
          <t>Proyecto</t>
        </is>
      </c>
      <c r="C7" s="5" t="inlineStr">
        <is>
          <t>Innovación suficiente frente a las soluciones existentes</t>
        </is>
      </c>
      <c r="D7" s="5" t="inlineStr">
        <is>
          <t>Bases 2.1, 13.1</t>
        </is>
      </c>
      <c r="E7" s="6" t="inlineStr">
        <is>
          <t>Falta</t>
        </is>
      </c>
      <c r="F7" s="6" t="inlineStr">
        <is>
          <t>Estudio de competencia chilena y propuesta de valor</t>
        </is>
      </c>
      <c r="G7" s="6" t="inlineStr">
        <is>
          <t>Dueño</t>
        </is>
      </c>
    </row>
    <row r="8">
      <c r="A8" s="5" t="n">
        <v>7</v>
      </c>
      <c r="B8" s="5" t="inlineStr">
        <is>
          <t>Proyecto</t>
        </is>
      </c>
      <c r="C8" s="5" t="inlineStr">
        <is>
          <t>Alcance no exclusivamente local (comunal o provincial no es admisible)</t>
        </is>
      </c>
      <c r="D8" s="5" t="inlineStr">
        <is>
          <t>Bases 2.1 c)</t>
        </is>
      </c>
      <c r="E8" s="6" t="inlineStr">
        <is>
          <t>Falta</t>
        </is>
      </c>
      <c r="F8" s="6" t="inlineStr">
        <is>
          <t>Argumentar plan nacional con inicio en la Región Metropolitana</t>
        </is>
      </c>
      <c r="G8" s="6" t="inlineStr">
        <is>
          <t>Dueño</t>
        </is>
      </c>
    </row>
    <row r="9">
      <c r="A9" s="5" t="n">
        <v>8</v>
      </c>
      <c r="B9" s="5" t="inlineStr">
        <is>
          <t>Proyecto</t>
        </is>
      </c>
      <c r="C9" s="5" t="inlineStr">
        <is>
          <t>No tener ingresos por ventas (personas jurídicas) y primera venta durante la ejecución</t>
        </is>
      </c>
      <c r="D9" s="5" t="inlineStr">
        <is>
          <t>Bases 3, 4.1 b), 13.3</t>
        </is>
      </c>
      <c r="E9" s="6" t="inlineStr">
        <is>
          <t>Cumple</t>
        </is>
      </c>
      <c r="F9" s="6" t="inlineStr">
        <is>
          <t>Mantener el demo sin cobros reales</t>
        </is>
      </c>
      <c r="G9" s="6" t="inlineStr">
        <is>
          <t>Dueño</t>
        </is>
      </c>
    </row>
    <row r="10">
      <c r="A10" s="5" t="n">
        <v>9</v>
      </c>
      <c r="B10" s="5" t="inlineStr">
        <is>
          <t>Proyecto</t>
        </is>
      </c>
      <c r="C10" s="5" t="inlineStr">
        <is>
          <t>Objetivo alineado: validación técnica y comercial (no compra de equipos ni consultorías)</t>
        </is>
      </c>
      <c r="D10" s="5" t="inlineStr">
        <is>
          <t>Bases 2.1</t>
        </is>
      </c>
      <c r="E10" s="6" t="inlineStr">
        <is>
          <t>Cumple</t>
        </is>
      </c>
      <c r="F10" s="6" t="inlineStr">
        <is>
          <t>Redactar el plan de validación</t>
        </is>
      </c>
      <c r="G10" s="6" t="inlineStr">
        <is>
          <t>Dueño</t>
        </is>
      </c>
    </row>
    <row r="11">
      <c r="A11" s="5" t="n">
        <v>10</v>
      </c>
      <c r="B11" s="5" t="inlineStr">
        <is>
          <t>Equipo</t>
        </is>
      </c>
      <c r="C11" s="5" t="inlineStr">
        <is>
          <t>Al menos 2 personas (hasta 3 cofundadores) con roles complementarios</t>
        </is>
      </c>
      <c r="D11" s="5" t="inlineStr">
        <is>
          <t>Bases 4.2, 9.2</t>
        </is>
      </c>
      <c r="E11" s="6" t="inlineStr">
        <is>
          <t>Por verificar</t>
        </is>
      </c>
      <c r="F11" s="6" t="inlineStr">
        <is>
          <t>Confirmar roles y perfil comercial</t>
        </is>
      </c>
      <c r="G11" s="6" t="inlineStr">
        <is>
          <t>Dueño</t>
        </is>
      </c>
    </row>
    <row r="12">
      <c r="A12" s="5" t="n">
        <v>11</v>
      </c>
      <c r="B12" s="5" t="inlineStr">
        <is>
          <t>Equipo</t>
        </is>
      </c>
      <c r="C12" s="5" t="inlineStr">
        <is>
          <t>Dedicación horaria comprometida (máx. 40 a 44 h semanales) y verificable</t>
        </is>
      </c>
      <c r="D12" s="5" t="inlineStr">
        <is>
          <t>Bases 8 d)</t>
        </is>
      </c>
      <c r="E12" s="6" t="inlineStr">
        <is>
          <t>Falta</t>
        </is>
      </c>
      <c r="F12" s="6" t="inlineStr">
        <is>
          <t>Completar horas por persona</t>
        </is>
      </c>
      <c r="G12" s="6" t="inlineStr">
        <is>
          <t>Dueño</t>
        </is>
      </c>
    </row>
    <row r="13">
      <c r="A13" s="5" t="n">
        <v>12</v>
      </c>
      <c r="B13" s="5" t="inlineStr">
        <is>
          <t>Participantes</t>
        </is>
      </c>
      <c r="C13" s="5" t="inlineStr">
        <is>
          <t>Entidad Patrocinadora de la nómina de Semilla Inicia habilitada para la región</t>
        </is>
      </c>
      <c r="D13" s="5" t="inlineStr">
        <is>
          <t>Bases 4.3</t>
        </is>
      </c>
      <c r="E13" s="6" t="inlineStr">
        <is>
          <t>Falta</t>
        </is>
      </c>
      <c r="F13" s="6" t="inlineStr">
        <is>
          <t>Buscar y elegir; preguntar a INACAP</t>
        </is>
      </c>
      <c r="G13" s="6" t="inlineStr">
        <is>
          <t>Dueño</t>
        </is>
      </c>
    </row>
    <row r="14">
      <c r="A14" s="5" t="n">
        <v>13</v>
      </c>
      <c r="B14" s="5" t="inlineStr">
        <is>
          <t>Participantes</t>
        </is>
      </c>
      <c r="C14" s="5" t="inlineStr">
        <is>
          <t>Mentoría de una red reconocida por Corfo, iniciada en los primeros 4 meses</t>
        </is>
      </c>
      <c r="D14" s="5" t="inlineStr">
        <is>
          <t>Bases 3, 7.1</t>
        </is>
      </c>
      <c r="E14" s="6" t="inlineStr">
        <is>
          <t>Falta</t>
        </is>
      </c>
      <c r="F14" s="6" t="inlineStr">
        <is>
          <t>Elegir la red con la patrocinadora</t>
        </is>
      </c>
      <c r="G14" s="6" t="inlineStr">
        <is>
          <t>Dueño</t>
        </is>
      </c>
    </row>
    <row r="15">
      <c r="A15" s="5" t="n">
        <v>14</v>
      </c>
      <c r="B15" s="5" t="inlineStr">
        <is>
          <t>Formulario</t>
        </is>
      </c>
      <c r="C15" s="5" t="inlineStr">
        <is>
          <t>a) Solución: problema, valor agregado, estado de desarrollo, ODS</t>
        </is>
      </c>
      <c r="D15" s="5" t="inlineStr">
        <is>
          <t>Bases 8 a)</t>
        </is>
      </c>
      <c r="E15" s="6" t="inlineStr">
        <is>
          <t>Borrador</t>
        </is>
      </c>
      <c r="F15" s="6" t="inlineStr">
        <is>
          <t>Completar docs/corfo/BORRADOR_POSTULACION.md</t>
        </is>
      </c>
      <c r="G15" s="6" t="inlineStr">
        <is>
          <t>Dueño</t>
        </is>
      </c>
    </row>
    <row r="16">
      <c r="A16" s="5" t="n">
        <v>15</v>
      </c>
      <c r="B16" s="5" t="inlineStr">
        <is>
          <t>Formulario</t>
        </is>
      </c>
      <c r="C16" s="5" t="inlineStr">
        <is>
          <t>b) Escalabilidad: modelo de negocios, clientes, competencia, mercado, región</t>
        </is>
      </c>
      <c r="D16" s="5" t="inlineStr">
        <is>
          <t>Bases 8 b)</t>
        </is>
      </c>
      <c r="E16" s="6" t="inlineStr">
        <is>
          <t>Borrador</t>
        </is>
      </c>
      <c r="F16" s="6" t="inlineStr">
        <is>
          <t>Falta mercado y competencia chilena</t>
        </is>
      </c>
      <c r="G16" s="6" t="inlineStr">
        <is>
          <t>Dueño</t>
        </is>
      </c>
    </row>
    <row r="17">
      <c r="A17" s="5" t="n">
        <v>16</v>
      </c>
      <c r="B17" s="5" t="inlineStr">
        <is>
          <t>Formulario</t>
        </is>
      </c>
      <c r="C17" s="5" t="inlineStr">
        <is>
          <t>c) Plan de validación con actividades y resultados</t>
        </is>
      </c>
      <c r="D17" s="5" t="inlineStr">
        <is>
          <t>Bases 8 c)</t>
        </is>
      </c>
      <c r="E17" s="6" t="inlineStr">
        <is>
          <t>Borrador</t>
        </is>
      </c>
      <c r="F17" s="6" t="inlineStr">
        <is>
          <t>Ajustar con fechas reales (hoja Gantt)</t>
        </is>
      </c>
      <c r="G17" s="6" t="inlineStr">
        <is>
          <t>Dueño</t>
        </is>
      </c>
    </row>
    <row r="18">
      <c r="A18" s="5" t="n">
        <v>17</v>
      </c>
      <c r="B18" s="5" t="inlineStr">
        <is>
          <t>Formulario</t>
        </is>
      </c>
      <c r="C18" s="5" t="inlineStr">
        <is>
          <t>d) Capacidades del equipo y dedicación</t>
        </is>
      </c>
      <c r="D18" s="5" t="inlineStr">
        <is>
          <t>Bases 8 d)</t>
        </is>
      </c>
      <c r="E18" s="6" t="inlineStr">
        <is>
          <t>Falta</t>
        </is>
      </c>
      <c r="F18" s="6" t="inlineStr">
        <is>
          <t>Completar con datos reales</t>
        </is>
      </c>
      <c r="G18" s="6" t="inlineStr">
        <is>
          <t>Dueño</t>
        </is>
      </c>
    </row>
    <row r="19">
      <c r="A19" s="5" t="n">
        <v>18</v>
      </c>
      <c r="B19" s="5" t="inlineStr">
        <is>
          <t>Formulario</t>
        </is>
      </c>
      <c r="C19" s="5" t="inlineStr">
        <is>
          <t>e) Video de máximo 40 s, accesible y con fecha de carga</t>
        </is>
      </c>
      <c r="D19" s="5" t="inlineStr">
        <is>
          <t>Bases 8 e)</t>
        </is>
      </c>
      <c r="E19" s="6" t="inlineStr">
        <is>
          <t>Falta</t>
        </is>
      </c>
      <c r="F19" s="6" t="inlineStr">
        <is>
          <t>Grabar con el guion del borrador</t>
        </is>
      </c>
      <c r="G19" s="6" t="inlineStr">
        <is>
          <t>Dueño</t>
        </is>
      </c>
    </row>
    <row r="20">
      <c r="A20" s="5" t="n">
        <v>19</v>
      </c>
      <c r="B20" s="5" t="inlineStr">
        <is>
          <t>Formulario</t>
        </is>
      </c>
      <c r="C20" s="5" t="inlineStr">
        <is>
          <t>Anexo 2 (ODS) y Anexo 3 (estrategia de operación sostenible)</t>
        </is>
      </c>
      <c r="D20" s="5" t="inlineStr">
        <is>
          <t>Bases anexos 2 y 3</t>
        </is>
      </c>
      <c r="E20" s="6" t="inlineStr">
        <is>
          <t>Falta</t>
        </is>
      </c>
      <c r="F20" s="6" t="inlineStr">
        <is>
          <t>Leer los anexos y completar</t>
        </is>
      </c>
      <c r="G20" s="6" t="inlineStr">
        <is>
          <t>Dueño</t>
        </is>
      </c>
    </row>
    <row r="21">
      <c r="A21" s="5" t="n">
        <v>20</v>
      </c>
      <c r="B21" s="5" t="inlineStr">
        <is>
          <t>Presupuesto</t>
        </is>
      </c>
      <c r="C21" s="5" t="inlineStr">
        <is>
          <t>Aporte propio de al menos 25 % del costo total</t>
        </is>
      </c>
      <c r="D21" s="5" t="inlineStr">
        <is>
          <t>Bases 6.3</t>
        </is>
      </c>
      <c r="E21" s="6" t="inlineStr">
        <is>
          <t>Falta</t>
        </is>
      </c>
      <c r="F21" s="6" t="inlineStr">
        <is>
          <t>Completar la hoja Presupuesto</t>
        </is>
      </c>
      <c r="G21" s="6" t="inlineStr">
        <is>
          <t>Dueño</t>
        </is>
      </c>
    </row>
    <row r="22">
      <c r="A22" s="5" t="n">
        <v>21</v>
      </c>
      <c r="B22" s="5" t="inlineStr">
        <is>
          <t>Presupuesto</t>
        </is>
      </c>
      <c r="C22" s="5" t="inlineStr">
        <is>
          <t>Subsidio de hasta 75 % con tope de $15.000.000; gastos de inversión hasta 20 % del subsidio; honorarios de socios hasta $700.000 al mes (máx. 2)</t>
        </is>
      </c>
      <c r="D22" s="5" t="inlineStr">
        <is>
          <t>Bases 6.1, 12</t>
        </is>
      </c>
      <c r="E22" s="6" t="inlineStr">
        <is>
          <t>Por verificar</t>
        </is>
      </c>
      <c r="F22" s="6" t="inlineStr">
        <is>
          <t>Armar el presupuesto dentro de los topes</t>
        </is>
      </c>
      <c r="G22" s="6" t="inlineStr">
        <is>
          <t>Dueño</t>
        </is>
      </c>
    </row>
    <row r="23">
      <c r="A23" s="5" t="n">
        <v>22</v>
      </c>
      <c r="B23" s="5" t="inlineStr">
        <is>
          <t>Presupuesto</t>
        </is>
      </c>
      <c r="C23" s="5" t="inlineStr">
        <is>
          <t>Incluir la constitución de la sociedad e inicio de actividades (actividad obligatoria si es persona natural)</t>
        </is>
      </c>
      <c r="D23" s="5" t="inlineStr">
        <is>
          <t>Bases 7.1 b)</t>
        </is>
      </c>
      <c r="E23" s="6" t="inlineStr">
        <is>
          <t>Falta</t>
        </is>
      </c>
      <c r="F23" s="6" t="inlineStr">
        <is>
          <t>Cotizar abogado y notaría</t>
        </is>
      </c>
      <c r="G23" s="6" t="inlineStr">
        <is>
          <t>Dueño</t>
        </is>
      </c>
    </row>
    <row r="24">
      <c r="A24" s="5" t="n">
        <v>23</v>
      </c>
      <c r="B24" s="5" t="inlineStr">
        <is>
          <t>Después de aprobar</t>
        </is>
      </c>
      <c r="C24" s="5" t="inlineStr">
        <is>
          <t>Contrato con la Entidad Patrocinadora y antecedentes de edad y residencia (15 días)</t>
        </is>
      </c>
      <c r="D24" s="5" t="inlineStr">
        <is>
          <t>Bases 13.3, Anexo 1</t>
        </is>
      </c>
      <c r="E24" s="6" t="inlineStr">
        <is>
          <t>Futuro</t>
        </is>
      </c>
      <c r="F24" s="6" t="inlineStr"/>
      <c r="G24" s="6" t="inlineStr">
        <is>
          <t>Dueño</t>
        </is>
      </c>
    </row>
    <row r="25">
      <c r="A25" s="5" t="n">
        <v>24</v>
      </c>
      <c r="B25" s="5" t="inlineStr">
        <is>
          <t>Después de aprobar</t>
        </is>
      </c>
      <c r="C25" s="5" t="inlineStr">
        <is>
          <t>Constituir la persona jurídica: beneficiario con participación mayoritaria; cada integrante con al menos 5 %</t>
        </is>
      </c>
      <c r="D25" s="5" t="inlineStr">
        <is>
          <t>Bases 4.4.2</t>
        </is>
      </c>
      <c r="E25" s="6" t="inlineStr">
        <is>
          <t>Futuro</t>
        </is>
      </c>
      <c r="F25" s="6" t="inlineStr">
        <is>
          <t>Acordar el reparto desde ya</t>
        </is>
      </c>
      <c r="G25" s="6" t="inlineStr">
        <is>
          <t>Dueño</t>
        </is>
      </c>
    </row>
    <row r="27">
      <c r="C27" s="8" t="inlineStr">
        <is>
          <t>Fuente: bases técnicas de Semilla Inicia (Res. Exenta 1498/2025) y ficha oficial del concurso Biobío 2026. Cada convocatoria puede cambiar los requisitos: leer las bases del llamado exacto.</t>
        </is>
      </c>
    </row>
    <row r="28">
      <c r="C28" s="8" t="n"/>
    </row>
    <row r="29">
      <c r="C29" s="10" t="inlineStr">
        <is>
          <t>Cumple</t>
        </is>
      </c>
      <c r="D29" s="10">
        <f>COUNTIF(E2:E25,"Cumple")</f>
        <v/>
      </c>
    </row>
    <row r="30">
      <c r="C30" s="10" t="inlineStr">
        <is>
          <t>Por verificar</t>
        </is>
      </c>
      <c r="D30" s="10">
        <f>COUNTIF(E2:E25,"Por verificar")</f>
        <v/>
      </c>
    </row>
    <row r="31">
      <c r="C31" s="10" t="inlineStr">
        <is>
          <t>Borrador</t>
        </is>
      </c>
      <c r="D31" s="10">
        <f>COUNTIF(E2:E25,"Borrador")</f>
        <v/>
      </c>
    </row>
    <row r="32">
      <c r="C32" s="10" t="inlineStr">
        <is>
          <t>Falta</t>
        </is>
      </c>
      <c r="D32" s="10">
        <f>COUNTIF(E2:E25,"Falta")</f>
        <v/>
      </c>
    </row>
    <row r="33">
      <c r="C33" s="10" t="inlineStr">
        <is>
          <t>Futuro</t>
        </is>
      </c>
      <c r="D33" s="10">
        <f>COUNTIF(E2:E25,"Futuro")</f>
        <v/>
      </c>
    </row>
  </sheetData>
  <autoFilter ref="A1:G25"/>
  <conditionalFormatting sqref="A2:G200">
    <cfRule type="expression" priority="1" dxfId="0">
      <formula>$E2="Cumple"</formula>
    </cfRule>
    <cfRule type="expression" priority="2" dxfId="2">
      <formula>$E2="Borrador"</formula>
    </cfRule>
    <cfRule type="expression" priority="3" dxfId="2">
      <formula>$E2="Por verificar"</formula>
    </cfRule>
    <cfRule type="expression" priority="4" dxfId="1">
      <formula>$E2="Falta"</formula>
    </cfRule>
  </conditionalFormatting>
  <dataValidations count="1">
    <dataValidation sqref="E2:E200" showDropDown="0" showInputMessage="0" showErrorMessage="0" allowBlank="1" type="list">
      <formula1>"Cumple,Por verificar,Borrador,Falta,Futuro"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0" customWidth="1" min="1" max="1"/>
    <col width="14" customWidth="1" min="2" max="2"/>
    <col width="10" customWidth="1" min="3" max="3"/>
    <col width="10"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c r="A1" s="7" t="inlineStr">
        <is>
          <t>Actividad</t>
        </is>
      </c>
      <c r="B1" s="7" t="inlineStr">
        <is>
          <t>Responsable</t>
        </is>
      </c>
      <c r="C1" s="7" t="inlineStr">
        <is>
          <t>Inicio (mes)</t>
        </is>
      </c>
      <c r="D1" s="7" t="inlineStr">
        <is>
          <t>Fin (mes)</t>
        </is>
      </c>
      <c r="E1" s="23" t="n">
        <v>1</v>
      </c>
      <c r="F1" s="23" t="n">
        <v>2</v>
      </c>
      <c r="G1" s="23" t="n">
        <v>3</v>
      </c>
      <c r="H1" s="23" t="n">
        <v>4</v>
      </c>
      <c r="I1" s="23" t="n">
        <v>5</v>
      </c>
      <c r="J1" s="23" t="n">
        <v>6</v>
      </c>
      <c r="K1" s="23" t="n">
        <v>7</v>
      </c>
      <c r="L1" s="23" t="n">
        <v>8</v>
      </c>
      <c r="M1" s="23" t="n">
        <v>9</v>
      </c>
      <c r="N1" s="23" t="n">
        <v>10</v>
      </c>
    </row>
    <row r="2">
      <c r="A2" s="24" t="inlineStr">
        <is>
          <t>Constituir la sociedad e iniciar actividades en el SII</t>
        </is>
      </c>
      <c r="B2" s="25" t="inlineStr">
        <is>
          <t>Dueño</t>
        </is>
      </c>
      <c r="C2" s="25" t="n">
        <v>1</v>
      </c>
      <c r="D2" s="25" t="n">
        <v>2</v>
      </c>
      <c r="E2" s="26" t="n"/>
      <c r="F2" s="26" t="n"/>
      <c r="G2" s="26" t="n"/>
      <c r="H2" s="26" t="n"/>
      <c r="I2" s="26" t="n"/>
      <c r="J2" s="26" t="n"/>
      <c r="K2" s="26" t="n"/>
      <c r="L2" s="26" t="n"/>
      <c r="M2" s="26" t="n"/>
      <c r="N2" s="26" t="n"/>
    </row>
    <row r="3">
      <c r="A3" s="24" t="inlineStr">
        <is>
          <t>Firmar el contrato con la Entidad Patrocinadora</t>
        </is>
      </c>
      <c r="B3" s="25" t="inlineStr">
        <is>
          <t>Dueño</t>
        </is>
      </c>
      <c r="C3" s="25" t="n">
        <v>1</v>
      </c>
      <c r="D3" s="25" t="n">
        <v>1</v>
      </c>
      <c r="E3" s="26" t="n"/>
      <c r="F3" s="26" t="n"/>
      <c r="G3" s="26" t="n"/>
      <c r="H3" s="26" t="n"/>
      <c r="I3" s="26" t="n"/>
      <c r="J3" s="26" t="n"/>
      <c r="K3" s="26" t="n"/>
      <c r="L3" s="26" t="n"/>
      <c r="M3" s="26" t="n"/>
      <c r="N3" s="26" t="n"/>
    </row>
    <row r="4">
      <c r="A4" s="24" t="inlineStr">
        <is>
          <t>Definir el modelo de negocios con la mentoría</t>
        </is>
      </c>
      <c r="B4" s="25" t="inlineStr">
        <is>
          <t>Todos</t>
        </is>
      </c>
      <c r="C4" s="25" t="n">
        <v>1</v>
      </c>
      <c r="D4" s="25" t="n">
        <v>2</v>
      </c>
      <c r="E4" s="26" t="n"/>
      <c r="F4" s="26" t="n"/>
      <c r="G4" s="26" t="n"/>
      <c r="H4" s="26" t="n"/>
      <c r="I4" s="26" t="n"/>
      <c r="J4" s="26" t="n"/>
      <c r="K4" s="26" t="n"/>
      <c r="L4" s="26" t="n"/>
      <c r="M4" s="26" t="n"/>
      <c r="N4" s="26" t="n"/>
    </row>
    <row r="5">
      <c r="A5" s="24" t="inlineStr">
        <is>
          <t>Producción técnica: pasarela real, correo transaccional, T&amp;C, claves</t>
        </is>
      </c>
      <c r="B5" s="25" t="inlineStr">
        <is>
          <t>Claude</t>
        </is>
      </c>
      <c r="C5" s="25" t="n">
        <v>1</v>
      </c>
      <c r="D5" s="25" t="n">
        <v>4</v>
      </c>
      <c r="E5" s="26" t="n"/>
      <c r="F5" s="26" t="n"/>
      <c r="G5" s="26" t="n"/>
      <c r="H5" s="26" t="n"/>
      <c r="I5" s="26" t="n"/>
      <c r="J5" s="26" t="n"/>
      <c r="K5" s="26" t="n"/>
      <c r="L5" s="26" t="n"/>
      <c r="M5" s="26" t="n"/>
      <c r="N5" s="26" t="n"/>
    </row>
    <row r="6">
      <c r="A6" s="24" t="inlineStr">
        <is>
          <t>Cumplimiento Ley 21.719 y revisión legal</t>
        </is>
      </c>
      <c r="B6" s="25" t="inlineStr">
        <is>
          <t>Dueño</t>
        </is>
      </c>
      <c r="C6" s="25" t="n">
        <v>1</v>
      </c>
      <c r="D6" s="25" t="n">
        <v>4</v>
      </c>
      <c r="E6" s="26" t="n"/>
      <c r="F6" s="26" t="n"/>
      <c r="G6" s="26" t="n"/>
      <c r="H6" s="26" t="n"/>
      <c r="I6" s="26" t="n"/>
      <c r="J6" s="26" t="n"/>
      <c r="K6" s="26" t="n"/>
      <c r="L6" s="26" t="n"/>
      <c r="M6" s="26" t="n"/>
      <c r="N6" s="26" t="n"/>
    </row>
    <row r="7">
      <c r="A7" s="24" t="inlineStr">
        <is>
          <t>Mentoría (debe iniciar antes del mes 4)</t>
        </is>
      </c>
      <c r="B7" s="25" t="inlineStr">
        <is>
          <t>Todos</t>
        </is>
      </c>
      <c r="C7" s="25" t="n">
        <v>2</v>
      </c>
      <c r="D7" s="25" t="n">
        <v>10</v>
      </c>
      <c r="E7" s="26" t="n"/>
      <c r="F7" s="26" t="n"/>
      <c r="G7" s="26" t="n"/>
      <c r="H7" s="26" t="n"/>
      <c r="I7" s="26" t="n"/>
      <c r="J7" s="26" t="n"/>
      <c r="K7" s="26" t="n"/>
      <c r="L7" s="26" t="n"/>
      <c r="M7" s="26" t="n"/>
      <c r="N7" s="26" t="n"/>
    </row>
    <row r="8">
      <c r="A8" s="24" t="inlineStr">
        <is>
          <t>Estrategia de operación sostenible (Anexo 3)</t>
        </is>
      </c>
      <c r="B8" s="25" t="inlineStr">
        <is>
          <t>Todos</t>
        </is>
      </c>
      <c r="C8" s="25" t="n">
        <v>3</v>
      </c>
      <c r="D8" s="25" t="n">
        <v>6</v>
      </c>
      <c r="E8" s="26" t="n"/>
      <c r="F8" s="26" t="n"/>
      <c r="G8" s="26" t="n"/>
      <c r="H8" s="26" t="n"/>
      <c r="I8" s="26" t="n"/>
      <c r="J8" s="26" t="n"/>
      <c r="K8" s="26" t="n"/>
      <c r="L8" s="26" t="n"/>
      <c r="M8" s="26" t="n"/>
      <c r="N8" s="26" t="n"/>
    </row>
    <row r="9">
      <c r="A9" s="24" t="inlineStr">
        <is>
          <t>Piloto con proveedores y clientes reales; validación comercial</t>
        </is>
      </c>
      <c r="B9" s="25" t="inlineStr">
        <is>
          <t>Todos</t>
        </is>
      </c>
      <c r="C9" s="25" t="n">
        <v>3</v>
      </c>
      <c r="D9" s="25" t="n">
        <v>9</v>
      </c>
      <c r="E9" s="26" t="n"/>
      <c r="F9" s="26" t="n"/>
      <c r="G9" s="26" t="n"/>
      <c r="H9" s="26" t="n"/>
      <c r="I9" s="26" t="n"/>
      <c r="J9" s="26" t="n"/>
      <c r="K9" s="26" t="n"/>
      <c r="L9" s="26" t="n"/>
      <c r="M9" s="26" t="n"/>
      <c r="N9" s="26" t="n"/>
    </row>
    <row r="10">
      <c r="A10" s="24" t="inlineStr">
        <is>
          <t>Primera venta: servicio pagado en la plataforma</t>
        </is>
      </c>
      <c r="B10" s="25" t="inlineStr">
        <is>
          <t>Todos</t>
        </is>
      </c>
      <c r="C10" s="25" t="n">
        <v>5</v>
      </c>
      <c r="D10" s="25" t="n">
        <v>8</v>
      </c>
      <c r="E10" s="26" t="n"/>
      <c r="F10" s="26" t="n"/>
      <c r="G10" s="26" t="n"/>
      <c r="H10" s="26" t="n"/>
      <c r="I10" s="26" t="n"/>
      <c r="J10" s="26" t="n"/>
      <c r="K10" s="26" t="n"/>
      <c r="L10" s="26" t="n"/>
      <c r="M10" s="26" t="n"/>
      <c r="N10" s="26" t="n"/>
    </row>
    <row r="11">
      <c r="A11" s="24" t="inlineStr">
        <is>
          <t>Medición, ajustes y plan de escalamiento a otras regiones</t>
        </is>
      </c>
      <c r="B11" s="25" t="inlineStr">
        <is>
          <t>Todos</t>
        </is>
      </c>
      <c r="C11" s="25" t="n">
        <v>8</v>
      </c>
      <c r="D11" s="25" t="n">
        <v>10</v>
      </c>
      <c r="E11" s="26" t="n"/>
      <c r="F11" s="26" t="n"/>
      <c r="G11" s="26" t="n"/>
      <c r="H11" s="26" t="n"/>
      <c r="I11" s="26" t="n"/>
      <c r="J11" s="26" t="n"/>
      <c r="K11" s="26" t="n"/>
      <c r="L11" s="26" t="n"/>
      <c r="M11" s="26" t="n"/>
      <c r="N11" s="26" t="n"/>
    </row>
    <row r="12">
      <c r="A12" s="24" t="inlineStr">
        <is>
          <t>Informe final y rendición</t>
        </is>
      </c>
      <c r="B12" s="25" t="inlineStr">
        <is>
          <t>Dueño</t>
        </is>
      </c>
      <c r="C12" s="25" t="n">
        <v>10</v>
      </c>
      <c r="D12" s="25" t="n">
        <v>10</v>
      </c>
      <c r="E12" s="26" t="n"/>
      <c r="F12" s="26" t="n"/>
      <c r="G12" s="26" t="n"/>
      <c r="H12" s="26" t="n"/>
      <c r="I12" s="26" t="n"/>
      <c r="J12" s="26" t="n"/>
      <c r="K12" s="26" t="n"/>
      <c r="L12" s="26" t="n"/>
      <c r="M12" s="26" t="n"/>
      <c r="N12" s="26" t="n"/>
    </row>
    <row r="14">
      <c r="A14" s="8" t="inlineStr">
        <is>
          <t>Meses de ejecución desde la firma del convenio (máximo 10, más 2 de prórroga excepcional). Cambia el inicio y el fin (azul) y la barra se mueve sola. Cuando se conozca la fecha de apertura, pasa estas actividades a Planner con fechas reales.</t>
        </is>
      </c>
    </row>
  </sheetData>
  <conditionalFormatting sqref="E2:N32">
    <cfRule type="expression" priority="1" dxfId="3">
      <formula>AND($C2&lt;&gt;"",E$1&gt;=$C2,E$1&lt;=$D2)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2026-10-16T04:48:48Z</dcterms:created>
  <dcterms:modified xsi:type="dcterms:W3CDTF">2026-10-16T04:48:48Z</dcterms:modified>
</cp:coreProperties>
</file>