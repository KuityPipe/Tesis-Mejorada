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eme" sheetId="1" state="visible" r:id="rId1"/>
    <sheet name="Tareas" sheetId="2" state="visible" r:id="rId2"/>
    <sheet name="Planner" sheetId="3" state="visible" r:id="rId3"/>
    <sheet name="Cambios" sheetId="4" state="visible" r:id="rId4"/>
    <sheet name="Decisiones" sheetId="5" state="visible" r:id="rId5"/>
    <sheet name="Pendientes_dueño" sheetId="6" state="visible" r:id="rId6"/>
    <sheet name="Riesgos" sheetId="7" state="visible" r:id="rId7"/>
    <sheet name="Comision" sheetId="8" state="visible" r:id="rId8"/>
    <sheet name="Presupuesto" sheetId="9" state="visible" r:id="rId9"/>
    <sheet name="Pruebas" sheetId="10" state="visible" r:id="rId10"/>
    <sheet name="Corfo" sheetId="11" state="visible" r:id="rId11"/>
    <sheet name="Gantt" sheetId="12" state="visible" r:id="rId12"/>
  </sheets>
  <definedNames>
    <definedName name="_xlnm._FilterDatabase" localSheetId="1" hidden="1">'Tareas'!$A$1:$J$54</definedName>
    <definedName name="_xlnm._FilterDatabase" localSheetId="3" hidden="1">'Cambios'!$A$1:$E$48</definedName>
    <definedName name="_xlnm._FilterDatabase" localSheetId="4" hidden="1">'Decisiones'!$A$1:$F$16</definedName>
    <definedName name="_xlnm._FilterDatabase" localSheetId="5" hidden="1">'Pendientes_dueño'!$A$1:$E$14</definedName>
    <definedName name="_xlnm._FilterDatabase" localSheetId="6" hidden="1">'Riesgos'!$A$1:$G$12</definedName>
    <definedName name="_xlnm._FilterDatabase" localSheetId="9" hidden="1">'Pruebas'!$A$1:$H$26</definedName>
    <definedName name="_xlnm._FilterDatabase" localSheetId="10" hidden="1">'Corfo'!$A$1:$G$25</definedName>
  </definedNames>
  <calcPr calcId="124519" fullCalcOnLoad="1"/>
</workbook>
</file>

<file path=xl/styles.xml><?xml version="1.0" encoding="utf-8"?>
<styleSheet xmlns="http://schemas.openxmlformats.org/spreadsheetml/2006/main">
  <numFmts count="3">
    <numFmt numFmtId="164" formatCode="0.0%"/>
    <numFmt numFmtId="165" formatCode="#,##0;[Red]-#,##0;-"/>
    <numFmt numFmtId="166" formatCode="&quot;M&quot;0"/>
  </numFmts>
  <fonts count="7">
    <font>
      <name val="Calibri"/>
      <family val="2"/>
      <color theme="1"/>
      <sz val="11"/>
      <scheme val="minor"/>
    </font>
    <font>
      <name val="Arial"/>
      <b val="1"/>
      <color rgb="001F3A5F"/>
      <sz val="14"/>
    </font>
    <font>
      <name val="Arial"/>
      <b val="1"/>
      <sz val="10"/>
    </font>
    <font>
      <name val="Arial"/>
      <sz val="10"/>
    </font>
    <font>
      <name val="Arial"/>
      <b val="1"/>
      <color rgb="00FFFFFF"/>
      <sz val="10"/>
    </font>
    <font>
      <name val="Arial"/>
      <color rgb="000000FF"/>
      <sz val="10"/>
    </font>
    <font>
      <name val="Arial"/>
      <i val="1"/>
      <color rgb="00595959"/>
      <sz val="9"/>
    </font>
  </fonts>
  <fills count="4">
    <fill>
      <patternFill/>
    </fill>
    <fill>
      <patternFill patternType="gray125"/>
    </fill>
    <fill>
      <patternFill patternType="solid">
        <fgColor rgb="001F3A5F"/>
      </patternFill>
    </fill>
    <fill>
      <patternFill patternType="solid">
        <fgColor rgb="00FFFF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vertical="center" wrapText="1"/>
    </xf>
    <xf numFmtId="0" fontId="3" fillId="0" borderId="1" applyAlignment="1" pivotButton="0" quotePrefix="0" xfId="0">
      <alignment vertical="top" wrapText="1"/>
    </xf>
    <xf numFmtId="0" fontId="5" fillId="0" borderId="1" applyAlignment="1" pivotButton="0" quotePrefix="0" xfId="0">
      <alignment vertical="top" wrapText="1"/>
    </xf>
    <xf numFmtId="0" fontId="4" fillId="2" borderId="1" pivotButton="0" quotePrefix="0" xfId="0"/>
    <xf numFmtId="0" fontId="6" fillId="0" borderId="0" pivotButton="0" quotePrefix="0" xfId="0"/>
    <xf numFmtId="0" fontId="6" fillId="0" borderId="0" applyAlignment="1" pivotButton="0" quotePrefix="0" xfId="0">
      <alignment vertical="top" wrapText="1"/>
    </xf>
    <xf numFmtId="0" fontId="3" fillId="0" borderId="0" pivotButton="0" quotePrefix="0" xfId="0"/>
    <xf numFmtId="3" fontId="5" fillId="3" borderId="1" pivotButton="0" quotePrefix="0" xfId="0"/>
    <xf numFmtId="9" fontId="5" fillId="3" borderId="1" pivotButton="0" quotePrefix="0" xfId="0"/>
    <xf numFmtId="1" fontId="5" fillId="3" borderId="1" pivotButton="0" quotePrefix="0" xfId="0"/>
    <xf numFmtId="0" fontId="4" fillId="2" borderId="0" pivotButton="0" quotePrefix="0" xfId="0"/>
    <xf numFmtId="164" fontId="5" fillId="3" borderId="1" pivotButton="0" quotePrefix="0" xfId="0"/>
    <xf numFmtId="10" fontId="5" fillId="3" borderId="1" pivotButton="0" quotePrefix="0" xfId="0"/>
    <xf numFmtId="0" fontId="4" fillId="2" borderId="0" applyAlignment="1" pivotButton="0" quotePrefix="0" xfId="0">
      <alignment wrapText="1"/>
    </xf>
    <xf numFmtId="164" fontId="3" fillId="0" borderId="1" pivotButton="0" quotePrefix="0" xfId="0"/>
    <xf numFmtId="165" fontId="3" fillId="0" borderId="1" pivotButton="0" quotePrefix="0" xfId="0"/>
    <xf numFmtId="3" fontId="5" fillId="3" borderId="1" applyAlignment="1" pivotButton="0" quotePrefix="0" xfId="0">
      <alignment vertical="top" wrapText="1"/>
    </xf>
    <xf numFmtId="3" fontId="3" fillId="0" borderId="1" applyAlignment="1" pivotButton="0" quotePrefix="0" xfId="0">
      <alignment vertical="top" wrapText="1"/>
    </xf>
    <xf numFmtId="3" fontId="2" fillId="0" borderId="0" pivotButton="0" quotePrefix="0" xfId="0"/>
    <xf numFmtId="166" fontId="4" fillId="2" borderId="1" applyAlignment="1" pivotButton="0" quotePrefix="0" xfId="0">
      <alignment horizontal="center"/>
    </xf>
    <xf numFmtId="0" fontId="3" fillId="0" borderId="1" pivotButton="0" quotePrefix="0" xfId="0"/>
    <xf numFmtId="0" fontId="5" fillId="0" borderId="1" pivotButton="0" quotePrefix="0" xfId="0"/>
    <xf numFmtId="0" fontId="0" fillId="0" borderId="1" pivotButton="0" quotePrefix="0" xfId="0"/>
  </cellXfs>
  <cellStyles count="1">
    <cellStyle name="Normal" xfId="0" builtinId="0" hidden="0"/>
  </cellStyles>
  <dxfs count="4">
    <dxf>
      <fill>
        <patternFill patternType="solid">
          <bgColor rgb="00E2F0D9"/>
        </patternFill>
      </fill>
    </dxf>
    <dxf>
      <fill>
        <patternFill patternType="solid">
          <bgColor rgb="00F8CBAD"/>
        </patternFill>
      </fill>
    </dxf>
    <dxf>
      <fill>
        <patternFill patternType="solid">
          <bgColor rgb="00FFF2CC"/>
        </patternFill>
      </fill>
    </dxf>
    <dxf>
      <fill>
        <patternFill patternType="solid">
          <bgColor rgb="002E75B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100" customWidth="1" min="2" max="2"/>
  </cols>
  <sheetData>
    <row r="1">
      <c r="A1" s="1" t="inlineStr">
        <is>
          <t>KeyServ — Seguimiento del proyecto</t>
        </is>
      </c>
    </row>
    <row r="3" ht="48" customHeight="1">
      <c r="A3" s="2" t="inlineStr">
        <is>
          <t>Para qué sirve</t>
        </is>
      </c>
      <c r="B3" s="3" t="inlineStr">
        <is>
          <t>Un solo lugar para no perder nada: qué falta (Tareas), qué cambió (Cambios), qué se decidió (Decisiones), qué depende de ti (Pendientes_dueño), qué puede salir mal (Riesgos), cuánto cuesta (Presupuesto, Comision) y cómo probarlo (Pruebas).</t>
        </is>
      </c>
    </row>
    <row r="4" ht="48" customHeight="1">
      <c r="A4" s="2" t="inlineStr">
        <is>
          <t>Cómo usarlo</t>
        </is>
      </c>
      <c r="B4" s="3" t="inlineStr">
        <is>
          <t>Cada vez que se agregue o cambie algo: 1) una fila en Cambios (o corre el paso del README), 2) actualiza el Estado de la tarea en Tareas, 3) si fue una decisión, una fila en Decisiones. La fuente de verdad del código es git; esto es el tablero.</t>
        </is>
      </c>
    </row>
    <row r="5" ht="48" customHeight="1">
      <c r="A5" s="2" t="inlineStr">
        <is>
          <t>Colores</t>
        </is>
      </c>
      <c r="B5" s="3" t="inlineStr">
        <is>
          <t>Texto azul = dato que tú puedes cambiar. Celda amarilla = falta que la completes. Negro = fórmula o texto fijo. Los estados se pintan solos: Hecho (verde), En curso (amarillo), Bloqueado (rojo).</t>
        </is>
      </c>
    </row>
    <row r="6" ht="48" customHeight="1">
      <c r="A6" s="2" t="inlineStr">
        <is>
          <t>Planner</t>
        </is>
      </c>
      <c r="B6" s="3" t="inlineStr">
        <is>
          <t>La hoja "Planner" ya trae las columnas que usa Microsoft Planner (Título, Bucket, Progreso, Prioridad, Fecha límite, Asignado, Notas) y se llena sola desde Tareas. Cópiala y pégala en Planner, o súbela a Excel Online/Teams y conéctala con Power Automate.</t>
        </is>
      </c>
    </row>
    <row r="7" ht="48" customHeight="1">
      <c r="A7" s="2" t="inlineStr">
        <is>
          <t>Hojas</t>
        </is>
      </c>
      <c r="B7" s="3" t="inlineStr">
        <is>
          <t>Tareas · Planner · Cambios · Decisiones · Pendientes_dueño · Riesgos · Comision (calculadora con fórmulas) · Presupuesto · Pruebas · Corfo (requisitos de las bases) · Gantt (10 meses de ejecución)</t>
        </is>
      </c>
    </row>
    <row r="8" ht="48" customHeight="1">
      <c r="A8" s="2" t="inlineStr">
        <is>
          <t>Repositorio</t>
        </is>
      </c>
      <c r="B8" s="3" t="inlineStr">
        <is>
          <t>Docs en docs/ (índice en docs/README.md). Estado de la sesión: docs/ESTADO_Y_PROXIMOS_PASOS.md. Seguimiento: docs/seguimiento/README.md.</t>
        </is>
      </c>
    </row>
    <row r="9" ht="48" customHeight="1">
      <c r="A9" s="2" t="inlineStr">
        <is>
          <t>Última actualización</t>
        </is>
      </c>
      <c r="B9" s="3" t="inlineStr">
        <is>
          <t>Generado el 2026-10-16 a partir del repositorio (hoja Cambios sale de git log).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8"/>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70" customWidth="1" min="3" max="3"/>
    <col width="10" customWidth="1" min="4" max="4"/>
    <col width="12" customWidth="1" min="5" max="5"/>
    <col width="12" customWidth="1" min="6" max="6"/>
    <col width="22" customWidth="1" min="7" max="7"/>
    <col width="14" customWidth="1" min="8" max="8"/>
    <col width="50" customWidth="1" min="9" max="9"/>
    <col width="28" customWidth="1" min="10" max="10"/>
  </cols>
  <sheetData>
    <row r="1" ht="30" customHeight="1">
      <c r="A1" s="4" t="inlineStr">
        <is>
          <t>ID</t>
        </is>
      </c>
      <c r="B1" s="4" t="inlineStr">
        <is>
          <t>Área</t>
        </is>
      </c>
      <c r="C1" s="4" t="inlineStr">
        <is>
          <t>Tarea</t>
        </is>
      </c>
      <c r="D1" s="4" t="inlineStr">
        <is>
          <t>Prioridad</t>
        </is>
      </c>
      <c r="E1" s="4" t="inlineStr">
        <is>
          <t>Estado</t>
        </is>
      </c>
      <c r="F1" s="4" t="inlineStr">
        <is>
          <t>Responsable</t>
        </is>
      </c>
      <c r="G1" s="4" t="inlineStr">
        <is>
          <t>Depende de</t>
        </is>
      </c>
      <c r="H1" s="4" t="inlineStr">
        <is>
          <t>Fecha límite</t>
        </is>
      </c>
      <c r="I1" s="4" t="inlineStr">
        <is>
          <t>Notas</t>
        </is>
      </c>
      <c r="J1" s="4" t="inlineStr">
        <is>
          <t>Referencia</t>
        </is>
      </c>
    </row>
    <row r="2">
      <c r="A2" s="5" t="inlineStr">
        <is>
          <t>T-001</t>
        </is>
      </c>
      <c r="B2" s="5" t="inlineStr">
        <is>
          <t>Cuentas y claves</t>
        </is>
      </c>
      <c r="C2" s="5" t="inlineStr">
        <is>
          <t>Crear cuenta SMTP (Gmail/Outlook/Brevo) y cargar SMTP_* y DJANGO_DEFAULT_FROM_EMAIL en .env y en Render; probar con probar_correo</t>
        </is>
      </c>
      <c r="D2" s="6" t="inlineStr">
        <is>
          <t>Alta</t>
        </is>
      </c>
      <c r="E2" s="6" t="inlineStr">
        <is>
          <t>Pendiente</t>
        </is>
      </c>
      <c r="F2" s="6" t="inlineStr">
        <is>
          <t>Dueño</t>
        </is>
      </c>
      <c r="G2" s="6" t="inlineStr"/>
      <c r="H2" s="6" t="inlineStr"/>
      <c r="I2" s="5" t="inlineStr">
        <is>
          <t>Desbloquea recuperar clave, códigos por correo y todos los avisos</t>
        </is>
      </c>
      <c r="J2" s="5" t="inlineStr">
        <is>
          <t>ESTADO_Y_PROXIMOS_PASOS.md</t>
        </is>
      </c>
    </row>
    <row r="3">
      <c r="A3" s="5" t="inlineStr">
        <is>
          <t>T-002</t>
        </is>
      </c>
      <c r="B3" s="5" t="inlineStr">
        <is>
          <t>Cuentas y claves</t>
        </is>
      </c>
      <c r="C3" s="5" t="inlineStr">
        <is>
          <t>Crear cuenta de pruebas en sandbox.flow.cl y cargar FLOW_API_KEY, FLOW_SECRET_KEY, FLOW_AMBIENTE</t>
        </is>
      </c>
      <c r="D3" s="6" t="inlineStr">
        <is>
          <t>Alta</t>
        </is>
      </c>
      <c r="E3" s="6" t="inlineStr">
        <is>
          <t>Pendiente</t>
        </is>
      </c>
      <c r="F3" s="6" t="inlineStr">
        <is>
          <t>Dueño</t>
        </is>
      </c>
      <c r="G3" s="6" t="inlineStr"/>
      <c r="H3" s="6" t="inlineStr"/>
      <c r="I3" s="5" t="inlineStr">
        <is>
          <t>Escribirlas tú, nunca en el chat</t>
        </is>
      </c>
      <c r="J3" s="5" t="inlineStr">
        <is>
          <t>ESTADO_Y_PROXIMOS_PASOS.md</t>
        </is>
      </c>
    </row>
    <row r="4">
      <c r="A4" s="5" t="inlineStr">
        <is>
          <t>T-003</t>
        </is>
      </c>
      <c r="B4" s="5" t="inlineStr">
        <is>
          <t>Cuentas y claves</t>
        </is>
      </c>
      <c r="C4" s="5" t="inlineStr">
        <is>
          <t>Crear aplicación en Mercado Pago Chile y cargar MERCADOPAGO_ACCESS_TOKEN de prueba (TEST-...)</t>
        </is>
      </c>
      <c r="D4" s="6" t="inlineStr">
        <is>
          <t>Alta</t>
        </is>
      </c>
      <c r="E4" s="6" t="inlineStr">
        <is>
          <t>Pendiente</t>
        </is>
      </c>
      <c r="F4" s="6" t="inlineStr">
        <is>
          <t>Dueño</t>
        </is>
      </c>
      <c r="G4" s="6" t="inlineStr"/>
      <c r="H4" s="6" t="inlineStr"/>
      <c r="I4" s="5" t="inlineStr">
        <is>
          <t>Sus notificaciones exigen URL pública https: probar contra Render</t>
        </is>
      </c>
      <c r="J4" s="5" t="inlineStr">
        <is>
          <t>ESTADO_Y_PROXIMOS_PASOS.md</t>
        </is>
      </c>
    </row>
    <row r="5">
      <c r="A5" s="5" t="inlineStr">
        <is>
          <t>T-004</t>
        </is>
      </c>
      <c r="B5" s="5" t="inlineStr">
        <is>
          <t>Cuentas y claves</t>
        </is>
      </c>
      <c r="C5" s="5" t="inlineStr">
        <is>
          <t>Fijar en Render DJANGO_SECRET_KEY, JWT_SECRET y BIOMETRIC_ENCRYPTION_KEYS (hoy usan valores por defecto)</t>
        </is>
      </c>
      <c r="D5" s="6" t="inlineStr">
        <is>
          <t>Media</t>
        </is>
      </c>
      <c r="E5" s="6" t="inlineStr">
        <is>
          <t>Pendiente</t>
        </is>
      </c>
      <c r="F5" s="6" t="inlineStr">
        <is>
          <t>Dueño</t>
        </is>
      </c>
      <c r="G5" s="6" t="inlineStr"/>
      <c r="H5" s="6" t="inlineStr"/>
      <c r="I5" s="5" t="inlineStr">
        <is>
          <t>Cambiar JWT_SECRET cierra la sesión de todos; BIOMETRIC_* exige rotar antes (rotar_llaves_biometricas)</t>
        </is>
      </c>
      <c r="J5" s="5" t="inlineStr">
        <is>
          <t>docs/cumplimiento/rotacion-de-llaves.md</t>
        </is>
      </c>
    </row>
    <row r="6">
      <c r="A6" s="5" t="inlineStr">
        <is>
          <t>T-005</t>
        </is>
      </c>
      <c r="B6" s="5" t="inlineStr">
        <is>
          <t>Cuentas y claves</t>
        </is>
      </c>
      <c r="C6" s="5" t="inlineStr">
        <is>
          <t>Respaldar keyserv-release.keystore y keystore.properties fuera del repo</t>
        </is>
      </c>
      <c r="D6" s="6" t="inlineStr">
        <is>
          <t>Media</t>
        </is>
      </c>
      <c r="E6" s="6" t="inlineStr">
        <is>
          <t>Pendiente</t>
        </is>
      </c>
      <c r="F6" s="6" t="inlineStr">
        <is>
          <t>Dueño</t>
        </is>
      </c>
      <c r="G6" s="6" t="inlineStr"/>
      <c r="H6" s="6" t="inlineStr"/>
      <c r="I6" s="5" t="inlineStr">
        <is>
          <t>Perderlos = no poder actualizar la app en Play Store</t>
        </is>
      </c>
      <c r="J6" s="5" t="inlineStr">
        <is>
          <t>CLAUDE.md</t>
        </is>
      </c>
    </row>
    <row r="7">
      <c r="A7" s="5" t="inlineStr">
        <is>
          <t>T-006</t>
        </is>
      </c>
      <c r="B7" s="5" t="inlineStr">
        <is>
          <t>Cuentas y claves</t>
        </is>
      </c>
      <c r="C7" s="5" t="inlineStr">
        <is>
          <t>Revisar términos del API gratuito de NVIDIA para producción y declarar el envío de texto fuera de Chile</t>
        </is>
      </c>
      <c r="D7" s="6" t="inlineStr">
        <is>
          <t>Media</t>
        </is>
      </c>
      <c r="E7" s="6" t="inlineStr">
        <is>
          <t>Pendiente</t>
        </is>
      </c>
      <c r="F7" s="6" t="inlineStr">
        <is>
          <t>Dueño</t>
        </is>
      </c>
      <c r="G7" s="6" t="inlineStr"/>
      <c r="H7" s="6" t="inlineStr"/>
      <c r="I7" s="5" t="inlineStr"/>
      <c r="J7" s="5" t="inlineStr">
        <is>
          <t>docs/adr/0005</t>
        </is>
      </c>
    </row>
    <row r="8">
      <c r="A8" s="5" t="inlineStr">
        <is>
          <t>T-007</t>
        </is>
      </c>
      <c r="B8" s="5" t="inlineStr">
        <is>
          <t>Legal</t>
        </is>
      </c>
      <c r="C8" s="5" t="inlineStr">
        <is>
          <t>Revisión de un abogado: consentimiento biométrico, video de verificación, EIPD, qué se conserva al eliminar cuenta, evidencia para investigaciones</t>
        </is>
      </c>
      <c r="D8" s="6" t="inlineStr">
        <is>
          <t>Alta</t>
        </is>
      </c>
      <c r="E8" s="6" t="inlineStr">
        <is>
          <t>Pendiente</t>
        </is>
      </c>
      <c r="F8" s="6" t="inlineStr">
        <is>
          <t>Dueño</t>
        </is>
      </c>
      <c r="G8" s="6" t="inlineStr"/>
      <c r="H8" s="6" t="inlineStr"/>
      <c r="I8" s="5" t="inlineStr">
        <is>
          <t>Ver preguntas en ADR 0007</t>
        </is>
      </c>
      <c r="J8" s="5" t="inlineStr">
        <is>
          <t>docs/adr/0007</t>
        </is>
      </c>
    </row>
    <row r="9">
      <c r="A9" s="5" t="inlineStr">
        <is>
          <t>T-008</t>
        </is>
      </c>
      <c r="B9" s="5" t="inlineStr">
        <is>
          <t>Legal</t>
        </is>
      </c>
      <c r="C9" s="5" t="inlineStr">
        <is>
          <t>Redactar Términos y Condiciones (quién responde por el servicio, reembolsos, disputas, comisión)</t>
        </is>
      </c>
      <c r="D9" s="6" t="inlineStr">
        <is>
          <t>Alta</t>
        </is>
      </c>
      <c r="E9" s="6" t="inlineStr">
        <is>
          <t>Pendiente</t>
        </is>
      </c>
      <c r="F9" s="6" t="inlineStr">
        <is>
          <t>Dueño</t>
        </is>
      </c>
      <c r="G9" s="6" t="inlineStr">
        <is>
          <t>Abogado</t>
        </is>
      </c>
      <c r="H9" s="6" t="inlineStr"/>
      <c r="I9" s="5" t="inlineStr">
        <is>
          <t>Hoy no existen</t>
        </is>
      </c>
      <c r="J9" s="5" t="inlineStr">
        <is>
          <t>PLAN_FLUJO_DE_DINERO.md</t>
        </is>
      </c>
    </row>
    <row r="10">
      <c r="A10" s="5" t="inlineStr">
        <is>
          <t>T-009</t>
        </is>
      </c>
      <c r="B10" s="5" t="inlineStr">
        <is>
          <t>Legal</t>
        </is>
      </c>
      <c r="C10" s="5" t="inlineStr">
        <is>
          <t>Consultar si custodiar fondos de terceros cae bajo la Ley Fintech 21.521</t>
        </is>
      </c>
      <c r="D10" s="6" t="inlineStr">
        <is>
          <t>Alta</t>
        </is>
      </c>
      <c r="E10" s="6" t="inlineStr">
        <is>
          <t>Pendiente</t>
        </is>
      </c>
      <c r="F10" s="6" t="inlineStr">
        <is>
          <t>Dueño</t>
        </is>
      </c>
      <c r="G10" s="6" t="inlineStr">
        <is>
          <t>Abogado</t>
        </is>
      </c>
      <c r="H10" s="6" t="inlineStr"/>
      <c r="I10" s="5" t="inlineStr">
        <is>
          <t>Pregunta de mayor riesgo del plan de dinero</t>
        </is>
      </c>
      <c r="J10" s="5" t="inlineStr">
        <is>
          <t>PLAN_FLUJO_DE_DINERO.md</t>
        </is>
      </c>
    </row>
    <row r="11">
      <c r="A11" s="5" t="inlineStr">
        <is>
          <t>T-010</t>
        </is>
      </c>
      <c r="B11" s="5" t="inlineStr">
        <is>
          <t>Negocio</t>
        </is>
      </c>
      <c r="C11" s="5" t="inlineStr">
        <is>
          <t>Contador: IVA de la comisión, boleta/factura, retenciones, régimen para iniciar actividades</t>
        </is>
      </c>
      <c r="D11" s="6" t="inlineStr">
        <is>
          <t>Alta</t>
        </is>
      </c>
      <c r="E11" s="6" t="inlineStr">
        <is>
          <t>Pendiente</t>
        </is>
      </c>
      <c r="F11" s="6" t="inlineStr">
        <is>
          <t>Dueño</t>
        </is>
      </c>
      <c r="G11" s="6" t="inlineStr"/>
      <c r="H11" s="6" t="inlineStr"/>
      <c r="I11" s="5" t="inlineStr"/>
      <c r="J11" s="5" t="inlineStr">
        <is>
          <t>PLAN_FLUJO_DE_DINERO.md</t>
        </is>
      </c>
    </row>
    <row r="12">
      <c r="A12" s="5" t="inlineStr">
        <is>
          <t>T-011</t>
        </is>
      </c>
      <c r="B12" s="5" t="inlineStr">
        <is>
          <t>Negocio</t>
        </is>
      </c>
      <c r="C12" s="5" t="inlineStr">
        <is>
          <t>Decidir la comisión final (tramos, mínimo, quién la paga) con las tarifas reales de cada pasarela</t>
        </is>
      </c>
      <c r="D12" s="6" t="inlineStr">
        <is>
          <t>Alta</t>
        </is>
      </c>
      <c r="E12" s="6" t="inlineStr">
        <is>
          <t>Pendiente</t>
        </is>
      </c>
      <c r="F12" s="6" t="inlineStr">
        <is>
          <t>Dueño</t>
        </is>
      </c>
      <c r="G12" s="6" t="inlineStr">
        <is>
          <t>Tarifas confirmadas</t>
        </is>
      </c>
      <c r="H12" s="6" t="inlineStr"/>
      <c r="I12" s="5" t="inlineStr">
        <is>
          <t>Por defecto 6/5/4,5/4 % y mínimo $1.000; ver hoja Comision y ANALISIS_COMISION.md</t>
        </is>
      </c>
      <c r="J12" s="5" t="inlineStr">
        <is>
          <t>ANALISIS_COMISION.md</t>
        </is>
      </c>
    </row>
    <row r="13">
      <c r="A13" s="5" t="inlineStr">
        <is>
          <t>T-012</t>
        </is>
      </c>
      <c r="B13" s="5" t="inlineStr">
        <is>
          <t>Negocio</t>
        </is>
      </c>
      <c r="C13" s="5" t="inlineStr">
        <is>
          <t>Decidir qué promete "identidad verificada" (cambiar el texto o llegar a vincular con la cédula)</t>
        </is>
      </c>
      <c r="D13" s="6" t="inlineStr">
        <is>
          <t>Alta</t>
        </is>
      </c>
      <c r="E13" s="6" t="inlineStr">
        <is>
          <t>Pendiente</t>
        </is>
      </c>
      <c r="F13" s="6" t="inlineStr">
        <is>
          <t>Dueño</t>
        </is>
      </c>
      <c r="G13" s="6" t="inlineStr"/>
      <c r="H13" s="6" t="inlineStr"/>
      <c r="I13" s="5" t="inlineStr">
        <is>
          <t>Video + cédula revisada por una persona ya implementado como vía sin biometría</t>
        </is>
      </c>
      <c r="J13" s="5" t="inlineStr">
        <is>
          <t>docs/adr/0006</t>
        </is>
      </c>
    </row>
    <row r="14">
      <c r="A14" s="5" t="inlineStr">
        <is>
          <t>T-013</t>
        </is>
      </c>
      <c r="B14" s="5" t="inlineStr">
        <is>
          <t>Corfo</t>
        </is>
      </c>
      <c r="C14" s="5" t="inlineStr">
        <is>
          <t>Elegir programa Corfo y leer las bases oficiales vigentes</t>
        </is>
      </c>
      <c r="D14" s="6" t="inlineStr">
        <is>
          <t>Alta</t>
        </is>
      </c>
      <c r="E14" s="6" t="inlineStr">
        <is>
          <t>Pendiente</t>
        </is>
      </c>
      <c r="F14" s="6" t="inlineStr">
        <is>
          <t>Dueño</t>
        </is>
      </c>
      <c r="G14" s="6" t="inlineStr"/>
      <c r="H14" s="6" t="inlineStr"/>
      <c r="I14" s="5" t="inlineStr"/>
      <c r="J14" s="5" t="inlineStr">
        <is>
          <t>ESTADO_Y_PROXIMOS_PASOS.md</t>
        </is>
      </c>
    </row>
    <row r="15">
      <c r="A15" s="5" t="inlineStr">
        <is>
          <t>T-014</t>
        </is>
      </c>
      <c r="B15" s="5" t="inlineStr">
        <is>
          <t>Corfo</t>
        </is>
      </c>
      <c r="C15" s="5" t="inlineStr">
        <is>
          <t>Encuesta con personas reales (Google Forms) para datos de necesidad de mercado</t>
        </is>
      </c>
      <c r="D15" s="6" t="inlineStr">
        <is>
          <t>Media</t>
        </is>
      </c>
      <c r="E15" s="6" t="inlineStr">
        <is>
          <t>Pendiente</t>
        </is>
      </c>
      <c r="F15" s="6" t="inlineStr">
        <is>
          <t>Dueño</t>
        </is>
      </c>
      <c r="G15" s="6" t="inlineStr"/>
      <c r="H15" s="6" t="inlineStr"/>
      <c r="I15" s="5" t="inlineStr"/>
      <c r="J15" s="5" t="inlineStr">
        <is>
          <t>ESTADO_Y_PROXIMOS_PASOS.md</t>
        </is>
      </c>
    </row>
    <row r="16">
      <c r="A16" s="5" t="inlineStr">
        <is>
          <t>T-015</t>
        </is>
      </c>
      <c r="B16" s="5" t="inlineStr">
        <is>
          <t>Corfo</t>
        </is>
      </c>
      <c r="C16" s="5" t="inlineStr">
        <is>
          <t>Presupuesto con supuestos escritos (hoja Presupuesto)</t>
        </is>
      </c>
      <c r="D16" s="6" t="inlineStr">
        <is>
          <t>Media</t>
        </is>
      </c>
      <c r="E16" s="6" t="inlineStr">
        <is>
          <t>Pendiente</t>
        </is>
      </c>
      <c r="F16" s="6" t="inlineStr">
        <is>
          <t>Dueño</t>
        </is>
      </c>
      <c r="G16" s="6" t="inlineStr"/>
      <c r="H16" s="6" t="inlineStr"/>
      <c r="I16" s="5" t="inlineStr"/>
      <c r="J16" s="5" t="inlineStr">
        <is>
          <t>hoja Presupuesto</t>
        </is>
      </c>
    </row>
    <row r="17">
      <c r="A17" s="5" t="inlineStr">
        <is>
          <t>T-016</t>
        </is>
      </c>
      <c r="B17" s="5" t="inlineStr">
        <is>
          <t>Corfo</t>
        </is>
      </c>
      <c r="C17" s="5" t="inlineStr">
        <is>
          <t>Definir equipo y asesores con roles</t>
        </is>
      </c>
      <c r="D17" s="6" t="inlineStr">
        <is>
          <t>Media</t>
        </is>
      </c>
      <c r="E17" s="6" t="inlineStr">
        <is>
          <t>Pendiente</t>
        </is>
      </c>
      <c r="F17" s="6" t="inlineStr">
        <is>
          <t>Dueño</t>
        </is>
      </c>
      <c r="G17" s="6" t="inlineStr"/>
      <c r="H17" s="6" t="inlineStr"/>
      <c r="I17" s="5" t="inlineStr"/>
      <c r="J17" s="5" t="inlineStr"/>
    </row>
    <row r="18">
      <c r="A18" s="5" t="inlineStr">
        <is>
          <t>T-017</t>
        </is>
      </c>
      <c r="B18" s="5" t="inlineStr">
        <is>
          <t>Corfo</t>
        </is>
      </c>
      <c r="C18" s="5" t="inlineStr">
        <is>
          <t>Grabar el video demo del README</t>
        </is>
      </c>
      <c r="D18" s="6" t="inlineStr">
        <is>
          <t>Media</t>
        </is>
      </c>
      <c r="E18" s="6" t="inlineStr">
        <is>
          <t>Pendiente</t>
        </is>
      </c>
      <c r="F18" s="6" t="inlineStr">
        <is>
          <t>Dueño</t>
        </is>
      </c>
      <c r="G18" s="6" t="inlineStr"/>
      <c r="H18" s="6" t="inlineStr"/>
      <c r="I18" s="5" t="inlineStr"/>
      <c r="J18" s="5" t="inlineStr">
        <is>
          <t>README.md</t>
        </is>
      </c>
    </row>
    <row r="19">
      <c r="A19" s="5" t="inlineStr">
        <is>
          <t>T-018</t>
        </is>
      </c>
      <c r="B19" s="5" t="inlineStr">
        <is>
          <t>Pruebas</t>
        </is>
      </c>
      <c r="C19" s="5" t="inlineStr">
        <is>
          <t>Recorrido manual como cliente y como proveedor (hoja Pruebas): eliminar cuenta, cancelar/rechazar, cerrar sesiones, verificación con video</t>
        </is>
      </c>
      <c r="D19" s="6" t="inlineStr">
        <is>
          <t>Alta</t>
        </is>
      </c>
      <c r="E19" s="6" t="inlineStr">
        <is>
          <t>Pendiente</t>
        </is>
      </c>
      <c r="F19" s="6" t="inlineStr">
        <is>
          <t>Dueño</t>
        </is>
      </c>
      <c r="G19" s="6" t="inlineStr"/>
      <c r="H19" s="6" t="inlineStr"/>
      <c r="I19" s="5" t="inlineStr">
        <is>
          <t>Los tests pasan, pero nadie los ha visto en pantalla</t>
        </is>
      </c>
      <c r="J19" s="5" t="inlineStr">
        <is>
          <t>hoja Pruebas</t>
        </is>
      </c>
    </row>
    <row r="20">
      <c r="A20" s="5" t="inlineStr">
        <is>
          <t>T-019</t>
        </is>
      </c>
      <c r="B20" s="5" t="inlineStr">
        <is>
          <t>Pruebas</t>
        </is>
      </c>
      <c r="C20" s="5" t="inlineStr">
        <is>
          <t>Probar un pago de punta a punta con Flow y con Mercado Pago en sandbox</t>
        </is>
      </c>
      <c r="D20" s="6" t="inlineStr">
        <is>
          <t>Alta</t>
        </is>
      </c>
      <c r="E20" s="6" t="inlineStr">
        <is>
          <t>Bloqueado</t>
        </is>
      </c>
      <c r="F20" s="6" t="inlineStr">
        <is>
          <t>Dueño</t>
        </is>
      </c>
      <c r="G20" s="6" t="inlineStr">
        <is>
          <t>Cuentas sandbox</t>
        </is>
      </c>
      <c r="H20" s="6" t="inlineStr"/>
      <c r="I20" s="5" t="inlineStr">
        <is>
          <t>Solo probados con mocks</t>
        </is>
      </c>
      <c r="J20" s="5" t="inlineStr">
        <is>
          <t>ESTADO_Y_PROXIMOS_PASOS.md</t>
        </is>
      </c>
    </row>
    <row r="21">
      <c r="A21" s="5" t="inlineStr">
        <is>
          <t>T-020</t>
        </is>
      </c>
      <c r="B21" s="5" t="inlineStr">
        <is>
          <t>Desarrollo</t>
        </is>
      </c>
      <c r="C21" s="5" t="inlineStr">
        <is>
          <t>Ajustar Flow y Mercado Pago según lo que falle en el sandbox real</t>
        </is>
      </c>
      <c r="D21" s="6" t="inlineStr">
        <is>
          <t>Alta</t>
        </is>
      </c>
      <c r="E21" s="6" t="inlineStr">
        <is>
          <t>Bloqueado</t>
        </is>
      </c>
      <c r="F21" s="6" t="inlineStr">
        <is>
          <t>Claude</t>
        </is>
      </c>
      <c r="G21" s="6" t="inlineStr">
        <is>
          <t>Cuentas sandbox</t>
        </is>
      </c>
      <c r="H21" s="6" t="inlineStr"/>
      <c r="I21" s="5" t="inlineStr">
        <is>
          <t>Mirar primero FlowService._firmar y crear_preferencia</t>
        </is>
      </c>
      <c r="J21" s="5" t="inlineStr">
        <is>
          <t>pagos.py</t>
        </is>
      </c>
    </row>
    <row r="22">
      <c r="A22" s="5" t="inlineStr">
        <is>
          <t>T-021</t>
        </is>
      </c>
      <c r="B22" s="5" t="inlineStr">
        <is>
          <t>Desarrollo</t>
        </is>
      </c>
      <c r="C22" s="5" t="inlineStr">
        <is>
          <t>Verificar el correo al registrarse (reusar CodigoSeguridad)</t>
        </is>
      </c>
      <c r="D22" s="6" t="inlineStr">
        <is>
          <t>Media</t>
        </is>
      </c>
      <c r="E22" s="6" t="inlineStr">
        <is>
          <t>Bloqueado</t>
        </is>
      </c>
      <c r="F22" s="6" t="inlineStr">
        <is>
          <t>Claude</t>
        </is>
      </c>
      <c r="G22" s="6" t="inlineStr">
        <is>
          <t>SMTP real</t>
        </is>
      </c>
      <c r="H22" s="6" t="inlineStr"/>
      <c r="I22" s="5" t="inlineStr"/>
      <c r="J22" s="5" t="inlineStr">
        <is>
          <t>BACKLOG.md</t>
        </is>
      </c>
    </row>
    <row r="23">
      <c r="A23" s="5" t="inlineStr">
        <is>
          <t>T-022</t>
        </is>
      </c>
      <c r="B23" s="5" t="inlineStr">
        <is>
          <t>Desarrollo</t>
        </is>
      </c>
      <c r="C23" s="5" t="inlineStr">
        <is>
          <t>Más avisos por correo: acceso nuevo a la cuenta, verificación por vencer</t>
        </is>
      </c>
      <c r="D23" s="6" t="inlineStr">
        <is>
          <t>Media</t>
        </is>
      </c>
      <c r="E23" s="6" t="inlineStr">
        <is>
          <t>Bloqueado</t>
        </is>
      </c>
      <c r="F23" s="6" t="inlineStr">
        <is>
          <t>Claude</t>
        </is>
      </c>
      <c r="G23" s="6" t="inlineStr">
        <is>
          <t>SMTP real</t>
        </is>
      </c>
      <c r="H23" s="6" t="inlineStr"/>
      <c r="I23" s="5" t="inlineStr"/>
      <c r="J23" s="5" t="inlineStr">
        <is>
          <t>docs/adr/0007</t>
        </is>
      </c>
    </row>
    <row r="24">
      <c r="A24" s="5" t="inlineStr">
        <is>
          <t>T-023</t>
        </is>
      </c>
      <c r="B24" s="5" t="inlineStr">
        <is>
          <t>Desarrollo</t>
        </is>
      </c>
      <c r="C24" s="5" t="inlineStr">
        <is>
          <t>Prueba real del dispositivo en la verificación nativa (llave que firma un desafío, o Play Integrity/App Attest)</t>
        </is>
      </c>
      <c r="D24" s="6" t="inlineStr">
        <is>
          <t>Media</t>
        </is>
      </c>
      <c r="E24" s="6" t="inlineStr">
        <is>
          <t>Pendiente</t>
        </is>
      </c>
      <c r="F24" s="6" t="inlineStr">
        <is>
          <t>Claude</t>
        </is>
      </c>
      <c r="G24" s="6" t="inlineStr">
        <is>
          <t>Decidir opción</t>
        </is>
      </c>
      <c r="H24" s="6" t="inlineStr"/>
      <c r="I24" s="5" t="inlineStr">
        <is>
          <t>Hoy solo reconfirma a quien ya tiene documento aprobado</t>
        </is>
      </c>
      <c r="J24" s="5" t="inlineStr">
        <is>
          <t>docs/adr/0006</t>
        </is>
      </c>
    </row>
    <row r="25">
      <c r="A25" s="5" t="inlineStr">
        <is>
          <t>T-024</t>
        </is>
      </c>
      <c r="B25" s="5" t="inlineStr">
        <is>
          <t>Desarrollo</t>
        </is>
      </c>
      <c r="C25" s="5" t="inlineStr">
        <is>
          <t>Ocultar del catálogo a proveedores con la verificación vencida (con aviso previo)</t>
        </is>
      </c>
      <c r="D25" s="6" t="inlineStr">
        <is>
          <t>Media</t>
        </is>
      </c>
      <c r="E25" s="6" t="inlineStr">
        <is>
          <t>Pendiente</t>
        </is>
      </c>
      <c r="F25" s="6" t="inlineStr">
        <is>
          <t>Claude</t>
        </is>
      </c>
      <c r="G25" s="6" t="inlineStr">
        <is>
          <t>Decisión de producto</t>
        </is>
      </c>
      <c r="H25" s="6" t="inlineStr"/>
      <c r="I25" s="5" t="inlineStr">
        <is>
          <t>Confirmar trabajos ya se bloquea</t>
        </is>
      </c>
      <c r="J25" s="5" t="inlineStr">
        <is>
          <t>docs/adr/0006</t>
        </is>
      </c>
    </row>
    <row r="26">
      <c r="A26" s="5" t="inlineStr">
        <is>
          <t>T-025</t>
        </is>
      </c>
      <c r="B26" s="5" t="inlineStr">
        <is>
          <t>Desarrollo</t>
        </is>
      </c>
      <c r="C26" s="5" t="inlineStr">
        <is>
          <t>Reembolsos automáticos por la API de cada pasarela, parciales y contracargos</t>
        </is>
      </c>
      <c r="D26" s="6" t="inlineStr">
        <is>
          <t>Media</t>
        </is>
      </c>
      <c r="E26" s="6" t="inlineStr">
        <is>
          <t>Pendiente</t>
        </is>
      </c>
      <c r="F26" s="6" t="inlineStr">
        <is>
          <t>Claude</t>
        </is>
      </c>
      <c r="G26" s="6" t="inlineStr">
        <is>
          <t>Pasarelas elegidas</t>
        </is>
      </c>
      <c r="H26" s="6" t="inlineStr"/>
      <c r="I26" s="5" t="inlineStr">
        <is>
          <t>Hoy se registran y se devuelven a mano</t>
        </is>
      </c>
      <c r="J26" s="5" t="inlineStr">
        <is>
          <t>PLAN_FLUJO_DE_DINERO.md</t>
        </is>
      </c>
    </row>
    <row r="27">
      <c r="A27" s="5" t="inlineStr">
        <is>
          <t>T-026</t>
        </is>
      </c>
      <c r="B27" s="5" t="inlineStr">
        <is>
          <t>Desarrollo</t>
        </is>
      </c>
      <c r="C27" s="5" t="inlineStr">
        <is>
          <t>Pagos al proveedor (payouts o split) y libro de movimientos</t>
        </is>
      </c>
      <c r="D27" s="6" t="inlineStr">
        <is>
          <t>Alta</t>
        </is>
      </c>
      <c r="E27" s="6" t="inlineStr">
        <is>
          <t>Pendiente</t>
        </is>
      </c>
      <c r="F27" s="6" t="inlineStr">
        <is>
          <t>Claude</t>
        </is>
      </c>
      <c r="G27" s="6" t="inlineStr">
        <is>
          <t>Decisión de recaudación + abogado</t>
        </is>
      </c>
      <c r="H27" s="6" t="inlineStr"/>
      <c r="I27" s="5" t="inlineStr"/>
      <c r="J27" s="5" t="inlineStr">
        <is>
          <t>PLAN_FLUJO_DE_DINERO.md</t>
        </is>
      </c>
    </row>
    <row r="28">
      <c r="A28" s="5" t="inlineStr">
        <is>
          <t>T-027</t>
        </is>
      </c>
      <c r="B28" s="5" t="inlineStr">
        <is>
          <t>Desarrollo</t>
        </is>
      </c>
      <c r="C28" s="5" t="inlineStr">
        <is>
          <t>Documentos tributarios (boleta/factura, notas de crédito)</t>
        </is>
      </c>
      <c r="D28" s="6" t="inlineStr">
        <is>
          <t>Media</t>
        </is>
      </c>
      <c r="E28" s="6" t="inlineStr">
        <is>
          <t>Pendiente</t>
        </is>
      </c>
      <c r="F28" s="6" t="inlineStr">
        <is>
          <t>Claude</t>
        </is>
      </c>
      <c r="G28" s="6" t="inlineStr">
        <is>
          <t>Contador</t>
        </is>
      </c>
      <c r="H28" s="6" t="inlineStr"/>
      <c r="I28" s="5" t="inlineStr"/>
      <c r="J28" s="5" t="inlineStr">
        <is>
          <t>PLAN_FLUJO_DE_DINERO.md</t>
        </is>
      </c>
    </row>
    <row r="29">
      <c r="A29" s="5" t="inlineStr">
        <is>
          <t>T-028</t>
        </is>
      </c>
      <c r="B29" s="5" t="inlineStr">
        <is>
          <t>Desarrollo</t>
        </is>
      </c>
      <c r="C29" s="5" t="inlineStr">
        <is>
          <t>Pedir código por correo también al cambiar correo/teléfono y al eliminar la cuenta</t>
        </is>
      </c>
      <c r="D29" s="6" t="inlineStr">
        <is>
          <t>Media</t>
        </is>
      </c>
      <c r="E29" s="6" t="inlineStr">
        <is>
          <t>Pendiente</t>
        </is>
      </c>
      <c r="F29" s="6" t="inlineStr">
        <is>
          <t>Claude</t>
        </is>
      </c>
      <c r="G29" s="6" t="inlineStr"/>
      <c r="H29" s="6" t="inlineStr"/>
      <c r="I29" s="5" t="inlineStr">
        <is>
          <t>El modelo CodigoSeguridad ya existe</t>
        </is>
      </c>
      <c r="J29" s="5" t="inlineStr">
        <is>
          <t>BACKLOG.md</t>
        </is>
      </c>
    </row>
    <row r="30">
      <c r="A30" s="5" t="inlineStr">
        <is>
          <t>T-029</t>
        </is>
      </c>
      <c r="B30" s="5" t="inlineStr">
        <is>
          <t>Desarrollo</t>
        </is>
      </c>
      <c r="C30" s="5" t="inlineStr">
        <is>
          <t>Retención reforzada de casos marcados ("legal hold") para evidencia</t>
        </is>
      </c>
      <c r="D30" s="6" t="inlineStr">
        <is>
          <t>Media</t>
        </is>
      </c>
      <c r="E30" s="6" t="inlineStr">
        <is>
          <t>Bloqueado</t>
        </is>
      </c>
      <c r="F30" s="6" t="inlineStr">
        <is>
          <t>Claude</t>
        </is>
      </c>
      <c r="G30" s="6" t="inlineStr">
        <is>
          <t>Abogado</t>
        </is>
      </c>
      <c r="H30" s="6" t="inlineStr"/>
      <c r="I30" s="5" t="inlineStr">
        <is>
          <t>Hoy un chat cerrado se borra a los 90 días</t>
        </is>
      </c>
      <c r="J30" s="5" t="inlineStr">
        <is>
          <t>docs/adr/0007</t>
        </is>
      </c>
    </row>
    <row r="31">
      <c r="A31" s="5" t="inlineStr">
        <is>
          <t>T-030</t>
        </is>
      </c>
      <c r="B31" s="5" t="inlineStr">
        <is>
          <t>Calidad</t>
        </is>
      </c>
      <c r="C31" s="5" t="inlineStr">
        <is>
          <t>Tests e2e de los flujos nuevos (cancelar/rechazar, eliminar cuenta, cerrar sesiones, reembolso, verificación con video)</t>
        </is>
      </c>
      <c r="D31" s="6" t="inlineStr">
        <is>
          <t>Media</t>
        </is>
      </c>
      <c r="E31" s="6" t="inlineStr">
        <is>
          <t>Pendiente</t>
        </is>
      </c>
      <c r="F31" s="6" t="inlineStr">
        <is>
          <t>Claude</t>
        </is>
      </c>
      <c r="G31" s="6" t="inlineStr"/>
      <c r="H31" s="6" t="inlineStr"/>
      <c r="I31" s="5" t="inlineStr">
        <is>
          <t>Cuidar de no romper los datos demo</t>
        </is>
      </c>
      <c r="J31" s="5" t="inlineStr">
        <is>
          <t>e2e/</t>
        </is>
      </c>
    </row>
    <row r="32">
      <c r="A32" s="5" t="inlineStr">
        <is>
          <t>T-031</t>
        </is>
      </c>
      <c r="B32" s="5" t="inlineStr">
        <is>
          <t>Calidad</t>
        </is>
      </c>
      <c r="C32" s="5" t="inlineStr">
        <is>
          <t>Deuda de lint del frontend (105 errores prefer-inject) y correr lint en el CI</t>
        </is>
      </c>
      <c r="D32" s="6" t="inlineStr">
        <is>
          <t>Baja</t>
        </is>
      </c>
      <c r="E32" s="6" t="inlineStr">
        <is>
          <t>Pendiente</t>
        </is>
      </c>
      <c r="F32" s="6" t="inlineStr">
        <is>
          <t>Claude</t>
        </is>
      </c>
      <c r="G32" s="6" t="inlineStr"/>
      <c r="H32" s="6" t="inlineStr"/>
      <c r="I32" s="5" t="inlineStr">
        <is>
          <t>Cambio mecánico, grande</t>
        </is>
      </c>
      <c r="J32" s="5" t="inlineStr">
        <is>
          <t>CLAUDE.md</t>
        </is>
      </c>
    </row>
    <row r="33">
      <c r="A33" s="5" t="inlineStr">
        <is>
          <t>T-032</t>
        </is>
      </c>
      <c r="B33" s="5" t="inlineStr">
        <is>
          <t>Calidad</t>
        </is>
      </c>
      <c r="C33" s="5" t="inlineStr">
        <is>
          <t>Geocodificar más comunas (hoy solo 9 de la RM)</t>
        </is>
      </c>
      <c r="D33" s="6" t="inlineStr">
        <is>
          <t>Baja</t>
        </is>
      </c>
      <c r="E33" s="6" t="inlineStr">
        <is>
          <t>Pendiente</t>
        </is>
      </c>
      <c r="F33" s="6" t="inlineStr">
        <is>
          <t>Claude</t>
        </is>
      </c>
      <c r="G33" s="6" t="inlineStr"/>
      <c r="H33" s="6" t="inlineStr"/>
      <c r="I33" s="5" t="inlineStr"/>
      <c r="J33" s="5" t="inlineStr">
        <is>
          <t>BACKLOG.md</t>
        </is>
      </c>
    </row>
    <row r="34">
      <c r="A34" s="5" t="inlineStr">
        <is>
          <t>T-033</t>
        </is>
      </c>
      <c r="B34" s="5" t="inlineStr">
        <is>
          <t>Producto</t>
        </is>
      </c>
      <c r="C34" s="5" t="inlineStr">
        <is>
          <t>Fintoc como medio de pago adicional (transferencias, llaves de test)</t>
        </is>
      </c>
      <c r="D34" s="6" t="inlineStr">
        <is>
          <t>Baja</t>
        </is>
      </c>
      <c r="E34" s="6" t="inlineStr">
        <is>
          <t>Pendiente</t>
        </is>
      </c>
      <c r="F34" s="6" t="inlineStr">
        <is>
          <t>Claude</t>
        </is>
      </c>
      <c r="G34" s="6" t="inlineStr"/>
      <c r="H34" s="6" t="inlineStr"/>
      <c r="I34" s="5" t="inlineStr">
        <is>
          <t>Evaluado, no integrado</t>
        </is>
      </c>
      <c r="J34" s="5" t="inlineStr">
        <is>
          <t>ESTADO_Y_PROXIMOS_PASOS.md</t>
        </is>
      </c>
    </row>
    <row r="35">
      <c r="A35" s="5" t="inlineStr">
        <is>
          <t>T-034</t>
        </is>
      </c>
      <c r="B35" s="5" t="inlineStr">
        <is>
          <t>Producto</t>
        </is>
      </c>
      <c r="C35" s="5" t="inlineStr">
        <is>
          <t>Mostrar el precio con la comisión incluida en el catálogo (hoy muestra el precio sin comisión)</t>
        </is>
      </c>
      <c r="D35" s="6" t="inlineStr">
        <is>
          <t>Baja</t>
        </is>
      </c>
      <c r="E35" s="6" t="inlineStr">
        <is>
          <t>Pendiente</t>
        </is>
      </c>
      <c r="F35" s="6" t="inlineStr">
        <is>
          <t>Claude</t>
        </is>
      </c>
      <c r="G35" s="6" t="inlineStr">
        <is>
          <t>Decisión del dueño</t>
        </is>
      </c>
      <c r="H35" s="6" t="inlineStr"/>
      <c r="I35" s="5" t="inlineStr"/>
      <c r="J35" s="5" t="inlineStr">
        <is>
          <t>ANALISIS_COMISION.md</t>
        </is>
      </c>
    </row>
    <row r="36">
      <c r="A36" s="5" t="inlineStr">
        <is>
          <t>T-035</t>
        </is>
      </c>
      <c r="B36" s="5" t="inlineStr">
        <is>
          <t>Corfo</t>
        </is>
      </c>
      <c r="C36" s="5" t="inlineStr">
        <is>
          <t>Elegir al beneficiario (persona natural) y acordar el reparto de la futura sociedad entre los tres antes de postular</t>
        </is>
      </c>
      <c r="D36" s="6" t="inlineStr">
        <is>
          <t>Alta</t>
        </is>
      </c>
      <c r="E36" s="6" t="inlineStr">
        <is>
          <t>Pendiente</t>
        </is>
      </c>
      <c r="F36" s="6" t="inlineStr">
        <is>
          <t>Dueño</t>
        </is>
      </c>
      <c r="G36" s="6" t="inlineStr"/>
      <c r="H36" s="6" t="inlineStr"/>
      <c r="I36" s="5" t="inlineStr">
        <is>
          <t>Si se aprueba hay que constituir la sociedad: el beneficiario debe tener participación mayoritaria y cada integrante al menos 5 %</t>
        </is>
      </c>
      <c r="J36" s="5" t="inlineStr">
        <is>
          <t>docs/corfo/README.md</t>
        </is>
      </c>
    </row>
    <row r="37">
      <c r="A37" s="5" t="inlineStr">
        <is>
          <t>T-036</t>
        </is>
      </c>
      <c r="B37" s="5" t="inlineStr">
        <is>
          <t>Corfo</t>
        </is>
      </c>
      <c r="C37" s="5" t="inlineStr">
        <is>
          <t>Buscar la Entidad Patrocinadora (nómina de Semilla Inicia de la región) y la red de mentores; preguntar a INACAP</t>
        </is>
      </c>
      <c r="D37" s="6" t="inlineStr">
        <is>
          <t>Alta</t>
        </is>
      </c>
      <c r="E37" s="6" t="inlineStr">
        <is>
          <t>Pendiente</t>
        </is>
      </c>
      <c r="F37" s="6" t="inlineStr">
        <is>
          <t>Dueño</t>
        </is>
      </c>
      <c r="G37" s="6" t="inlineStr"/>
      <c r="H37" s="6" t="inlineStr"/>
      <c r="I37" s="5" t="inlineStr">
        <is>
          <t>Ambas son obligatorias en las bases</t>
        </is>
      </c>
      <c r="J37" s="5" t="inlineStr">
        <is>
          <t>docs/corfo/README.md</t>
        </is>
      </c>
    </row>
    <row r="38">
      <c r="A38" s="5" t="inlineStr">
        <is>
          <t>T-037</t>
        </is>
      </c>
      <c r="B38" s="5" t="inlineStr">
        <is>
          <t>Corfo</t>
        </is>
      </c>
      <c r="C38" s="5" t="inlineStr">
        <is>
          <t>Estudio de competencia chilena y tamaño de mercado con fuentes citables (la tesis solo compara con plataformas extranjeras)</t>
        </is>
      </c>
      <c r="D38" s="6" t="inlineStr">
        <is>
          <t>Alta</t>
        </is>
      </c>
      <c r="E38" s="6" t="inlineStr">
        <is>
          <t>Pendiente</t>
        </is>
      </c>
      <c r="F38" s="6" t="inlineStr">
        <is>
          <t>Dueño</t>
        </is>
      </c>
      <c r="G38" s="6" t="inlineStr"/>
      <c r="H38" s="6" t="inlineStr"/>
      <c r="I38" s="5" t="inlineStr">
        <is>
          <t>Pesa en Innovación (40 %) y Escalabilidad (30 %)</t>
        </is>
      </c>
      <c r="J38" s="5" t="inlineStr">
        <is>
          <t>docs/corfo/DE_LA_TESIS_A_LA_POSTULACION.md</t>
        </is>
      </c>
    </row>
    <row r="39">
      <c r="A39" s="5" t="inlineStr">
        <is>
          <t>T-038</t>
        </is>
      </c>
      <c r="B39" s="5" t="inlineStr">
        <is>
          <t>Corfo</t>
        </is>
      </c>
      <c r="C39" s="5" t="inlineStr">
        <is>
          <t>Completar el borrador de postulación: equipo, horas, ODS, sostenibilidad, metas de piloto</t>
        </is>
      </c>
      <c r="D39" s="6" t="inlineStr">
        <is>
          <t>Alta</t>
        </is>
      </c>
      <c r="E39" s="6" t="inlineStr">
        <is>
          <t>Pendiente</t>
        </is>
      </c>
      <c r="F39" s="6" t="inlineStr">
        <is>
          <t>Dueño</t>
        </is>
      </c>
      <c r="G39" s="6" t="inlineStr"/>
      <c r="H39" s="6" t="inlineStr"/>
      <c r="I39" s="5" t="inlineStr">
        <is>
          <t>Claude puede ayudar a redactar con tus datos</t>
        </is>
      </c>
      <c r="J39" s="5" t="inlineStr">
        <is>
          <t>docs/corfo/BORRADOR_POSTULACION.md</t>
        </is>
      </c>
    </row>
    <row r="40">
      <c r="A40" s="5" t="inlineStr">
        <is>
          <t>T-039</t>
        </is>
      </c>
      <c r="B40" s="5" t="inlineStr">
        <is>
          <t>Corfo</t>
        </is>
      </c>
      <c r="C40" s="5" t="inlineStr">
        <is>
          <t>Grabar el video de máximo 40 segundos (alojado con fecha de carga) y probar que abre sin clave</t>
        </is>
      </c>
      <c r="D40" s="6" t="inlineStr">
        <is>
          <t>Alta</t>
        </is>
      </c>
      <c r="E40" s="6" t="inlineStr">
        <is>
          <t>Pendiente</t>
        </is>
      </c>
      <c r="F40" s="6" t="inlineStr">
        <is>
          <t>Dueño</t>
        </is>
      </c>
      <c r="G40" s="6" t="inlineStr"/>
      <c r="H40" s="6" t="inlineStr"/>
      <c r="I40" s="5" t="inlineStr">
        <is>
          <t>Si no abre, la postulación no se evalúa</t>
        </is>
      </c>
      <c r="J40" s="5" t="inlineStr">
        <is>
          <t>docs/corfo/BORRADOR_POSTULACION.md</t>
        </is>
      </c>
    </row>
    <row r="41">
      <c r="A41" s="5" t="inlineStr">
        <is>
          <t>T-040</t>
        </is>
      </c>
      <c r="B41" s="5" t="inlineStr">
        <is>
          <t>Corfo</t>
        </is>
      </c>
      <c r="C41" s="5" t="inlineStr">
        <is>
          <t>Vigilar la apertura de la próxima convocatoria de Semilla Inicia y leer las bases exactas de ese llamado</t>
        </is>
      </c>
      <c r="D41" s="6" t="inlineStr">
        <is>
          <t>Media</t>
        </is>
      </c>
      <c r="E41" s="6" t="inlineStr">
        <is>
          <t>Pendiente</t>
        </is>
      </c>
      <c r="F41" s="6" t="inlineStr">
        <is>
          <t>Dueño</t>
        </is>
      </c>
      <c r="G41" s="6" t="inlineStr"/>
      <c r="H41" s="6" t="inlineStr"/>
      <c r="I41" s="5" t="inlineStr">
        <is>
          <t>Las de 2026 ya cerraron; no hay una abierta hoy</t>
        </is>
      </c>
      <c r="J41" s="5" t="inlineStr">
        <is>
          <t>docs/corfo/README.md</t>
        </is>
      </c>
    </row>
    <row r="42">
      <c r="A42" s="5" t="inlineStr">
        <is>
          <t>T-041</t>
        </is>
      </c>
      <c r="B42" s="5" t="inlineStr">
        <is>
          <t>Corfo</t>
        </is>
      </c>
      <c r="C42" s="5" t="inlineStr">
        <is>
          <t>No cobrar dinero real ni constituir la sociedad antes de saber el resultado</t>
        </is>
      </c>
      <c r="D42" s="6" t="inlineStr">
        <is>
          <t>Media</t>
        </is>
      </c>
      <c r="E42" s="6" t="inlineStr">
        <is>
          <t>En curso</t>
        </is>
      </c>
      <c r="F42" s="6" t="inlineStr">
        <is>
          <t>Dueño</t>
        </is>
      </c>
      <c r="G42" s="6" t="inlineStr"/>
      <c r="H42" s="6" t="inlineStr"/>
      <c r="I42" s="5" t="inlineStr">
        <is>
          <t>Persona jurídica sin ventas; la primera venta es parte de la ejecución</t>
        </is>
      </c>
      <c r="J42" s="5" t="inlineStr">
        <is>
          <t>docs/corfo/README.md</t>
        </is>
      </c>
    </row>
    <row r="43">
      <c r="A43" s="5" t="inlineStr">
        <is>
          <t>T-042</t>
        </is>
      </c>
      <c r="B43" s="5" t="inlineStr">
        <is>
          <t>Legal</t>
        </is>
      </c>
      <c r="C43" s="5" t="inlineStr">
        <is>
          <t>Ley 21.719 (vigencia 1-dic-2026): ejecutar el plan de adecuación semana a semana</t>
        </is>
      </c>
      <c r="D43" s="6" t="inlineStr">
        <is>
          <t>Alta</t>
        </is>
      </c>
      <c r="E43" s="6" t="inlineStr">
        <is>
          <t>En curso</t>
        </is>
      </c>
      <c r="F43" s="6" t="inlineStr">
        <is>
          <t>Dueño</t>
        </is>
      </c>
      <c r="G43" s="6" t="inlineStr">
        <is>
          <t>Abogado</t>
        </is>
      </c>
      <c r="H43" s="6" t="inlineStr">
        <is>
          <t>2026-12-01</t>
        </is>
      </c>
      <c r="I43" s="5" t="inlineStr">
        <is>
          <t>Ver preguntas para el abogado en el plan</t>
        </is>
      </c>
      <c r="J43" s="5" t="inlineStr">
        <is>
          <t>docs/cumplimiento/PLAN_ADECUACION_LEY_21719.md</t>
        </is>
      </c>
    </row>
    <row r="44">
      <c r="A44" s="5" t="inlineStr">
        <is>
          <t>T-043</t>
        </is>
      </c>
      <c r="B44" s="5" t="inlineStr">
        <is>
          <t>Legal</t>
        </is>
      </c>
      <c r="C44" s="5" t="inlineStr">
        <is>
          <t>Contratos o DPA con los encargados y decisión sobre transferencias internacionales (EE. UU., Brasil)</t>
        </is>
      </c>
      <c r="D44" s="6" t="inlineStr">
        <is>
          <t>Alta</t>
        </is>
      </c>
      <c r="E44" s="6" t="inlineStr">
        <is>
          <t>Pendiente</t>
        </is>
      </c>
      <c r="F44" s="6" t="inlineStr">
        <is>
          <t>Dueño</t>
        </is>
      </c>
      <c r="G44" s="6" t="inlineStr">
        <is>
          <t>Abogado</t>
        </is>
      </c>
      <c r="H44" s="6" t="inlineStr"/>
      <c r="I44" s="5" t="inlineStr"/>
      <c r="J44" s="5" t="inlineStr">
        <is>
          <t>docs/cumplimiento/PLAN_ADECUACION_LEY_21719.md</t>
        </is>
      </c>
    </row>
    <row r="45">
      <c r="A45" s="5" t="inlineStr">
        <is>
          <t>T-044</t>
        </is>
      </c>
      <c r="B45" s="5" t="inlineStr">
        <is>
          <t>Legal</t>
        </is>
      </c>
      <c r="C45" s="5" t="inlineStr">
        <is>
          <t>Simulacro de brecha de seguridad y de solicitud de derechos; designar suplente</t>
        </is>
      </c>
      <c r="D45" s="6" t="inlineStr">
        <is>
          <t>Media</t>
        </is>
      </c>
      <c r="E45" s="6" t="inlineStr">
        <is>
          <t>Pendiente</t>
        </is>
      </c>
      <c r="F45" s="6" t="inlineStr">
        <is>
          <t>Dueño</t>
        </is>
      </c>
      <c r="G45" s="6" t="inlineStr"/>
      <c r="H45" s="6" t="inlineStr"/>
      <c r="I45" s="5" t="inlineStr"/>
      <c r="J45" s="5" t="inlineStr">
        <is>
          <t>docs/legal/protocolo-de-brechas.md</t>
        </is>
      </c>
    </row>
    <row r="46">
      <c r="A46" s="5" t="inlineStr">
        <is>
          <t>T-045</t>
        </is>
      </c>
      <c r="B46" s="5" t="inlineStr">
        <is>
          <t>Desarrollo</t>
        </is>
      </c>
      <c r="C46" s="5" t="inlineStr">
        <is>
          <t>Actualizar la EIPD y el registro de tratamientos con el video de verificación, Flow, Mercado Pago y los avisos por correo</t>
        </is>
      </c>
      <c r="D46" s="6" t="inlineStr">
        <is>
          <t>Alta</t>
        </is>
      </c>
      <c r="E46" s="6" t="inlineStr">
        <is>
          <t>Pendiente</t>
        </is>
      </c>
      <c r="F46" s="6" t="inlineStr">
        <is>
          <t>Claude</t>
        </is>
      </c>
      <c r="G46" s="6" t="inlineStr"/>
      <c r="H46" s="6" t="inlineStr"/>
      <c r="I46" s="5" t="inlineStr"/>
      <c r="J46" s="5" t="inlineStr">
        <is>
          <t>docs/cumplimiento/PLAN_ADECUACION_LEY_21719.md</t>
        </is>
      </c>
    </row>
    <row r="47">
      <c r="A47" s="5" t="inlineStr">
        <is>
          <t>T-046</t>
        </is>
      </c>
      <c r="B47" s="5" t="inlineStr">
        <is>
          <t>Desarrollo</t>
        </is>
      </c>
      <c r="C47" s="5" t="inlineStr">
        <is>
          <t>Armar la carta Gantt definitiva en Planner con fechas reales cuando se conozca la apertura</t>
        </is>
      </c>
      <c r="D47" s="6" t="inlineStr">
        <is>
          <t>Media</t>
        </is>
      </c>
      <c r="E47" s="6" t="inlineStr">
        <is>
          <t>Pendiente</t>
        </is>
      </c>
      <c r="F47" s="6" t="inlineStr">
        <is>
          <t>Dueño</t>
        </is>
      </c>
      <c r="G47" s="6" t="inlineStr">
        <is>
          <t>Convocatoria abierta</t>
        </is>
      </c>
      <c r="H47" s="6" t="inlineStr"/>
      <c r="I47" s="5" t="inlineStr">
        <is>
          <t>Hoja Gantt del Excel como base</t>
        </is>
      </c>
      <c r="J47" s="5" t="inlineStr">
        <is>
          <t>hoja Gantt</t>
        </is>
      </c>
    </row>
    <row r="48">
      <c r="A48" s="5" t="inlineStr">
        <is>
          <t>T-047</t>
        </is>
      </c>
      <c r="B48" s="5" t="inlineStr">
        <is>
          <t>Hecho</t>
        </is>
      </c>
      <c r="C48" s="5" t="inlineStr">
        <is>
          <t>Corregir hallazgos de la revisión externa (Webpay doble confirmación, sesiones, cancelar/rechazar, eliminación con espera de 15 días, expiración de solicitudes)</t>
        </is>
      </c>
      <c r="D48" s="6" t="inlineStr">
        <is>
          <t>Alta</t>
        </is>
      </c>
      <c r="E48" s="6" t="inlineStr">
        <is>
          <t>Hecho</t>
        </is>
      </c>
      <c r="F48" s="6" t="inlineStr">
        <is>
          <t>Claude</t>
        </is>
      </c>
      <c r="G48" s="6" t="inlineStr"/>
      <c r="H48" s="6" t="inlineStr">
        <is>
          <t>2026-10-15</t>
        </is>
      </c>
      <c r="I48" s="5" t="inlineStr"/>
      <c r="J48" s="5" t="inlineStr">
        <is>
          <t>plan-ajustes.md</t>
        </is>
      </c>
    </row>
    <row r="49">
      <c r="A49" s="5" t="inlineStr">
        <is>
          <t>T-048</t>
        </is>
      </c>
      <c r="B49" s="5" t="inlineStr">
        <is>
          <t>Hecho</t>
        </is>
      </c>
      <c r="C49" s="5" t="inlineStr">
        <is>
          <t>Invalidar access tokens al cambiar la clave o eliminar la cuenta; cerrar sesión en todos los dispositivos con código por correo</t>
        </is>
      </c>
      <c r="D49" s="6" t="inlineStr">
        <is>
          <t>Alta</t>
        </is>
      </c>
      <c r="E49" s="6" t="inlineStr">
        <is>
          <t>Hecho</t>
        </is>
      </c>
      <c r="F49" s="6" t="inlineStr">
        <is>
          <t>Claude</t>
        </is>
      </c>
      <c r="G49" s="6" t="inlineStr"/>
      <c r="H49" s="6" t="inlineStr">
        <is>
          <t>2026-10-16</t>
        </is>
      </c>
      <c r="I49" s="5" t="inlineStr"/>
      <c r="J49" s="5" t="inlineStr">
        <is>
          <t>ESTADO_Y_PROXIMOS_PASOS.md</t>
        </is>
      </c>
    </row>
    <row r="50">
      <c r="A50" s="5" t="inlineStr">
        <is>
          <t>T-049</t>
        </is>
      </c>
      <c r="B50" s="5" t="inlineStr">
        <is>
          <t>Hecho</t>
        </is>
      </c>
      <c r="C50" s="5" t="inlineStr">
        <is>
          <t>Flow y Mercado Pago como medios de pago (código, probado con mocks)</t>
        </is>
      </c>
      <c r="D50" s="6" t="inlineStr">
        <is>
          <t>Alta</t>
        </is>
      </c>
      <c r="E50" s="6" t="inlineStr">
        <is>
          <t>Hecho</t>
        </is>
      </c>
      <c r="F50" s="6" t="inlineStr">
        <is>
          <t>Claude</t>
        </is>
      </c>
      <c r="G50" s="6" t="inlineStr"/>
      <c r="H50" s="6" t="inlineStr">
        <is>
          <t>2026-10-16</t>
        </is>
      </c>
      <c r="I50" s="5" t="inlineStr">
        <is>
          <t>Falta probar en sandbox real</t>
        </is>
      </c>
      <c r="J50" s="5" t="inlineStr">
        <is>
          <t>ESTADO_Y_PROXIMOS_PASOS.md</t>
        </is>
      </c>
    </row>
    <row r="51">
      <c r="A51" s="5" t="inlineStr">
        <is>
          <t>T-050</t>
        </is>
      </c>
      <c r="B51" s="5" t="inlineStr">
        <is>
          <t>Hecho</t>
        </is>
      </c>
      <c r="C51" s="5" t="inlineStr">
        <is>
          <t>Registro de reembolsos, más avisos por correo, chequeos de claves inseguras</t>
        </is>
      </c>
      <c r="D51" s="6" t="inlineStr">
        <is>
          <t>Media</t>
        </is>
      </c>
      <c r="E51" s="6" t="inlineStr">
        <is>
          <t>Hecho</t>
        </is>
      </c>
      <c r="F51" s="6" t="inlineStr">
        <is>
          <t>Claude</t>
        </is>
      </c>
      <c r="G51" s="6" t="inlineStr"/>
      <c r="H51" s="6" t="inlineStr">
        <is>
          <t>2026-10-16</t>
        </is>
      </c>
      <c r="I51" s="5" t="inlineStr"/>
      <c r="J51" s="5" t="inlineStr">
        <is>
          <t>ESTADO_Y_PROXIMOS_PASOS.md</t>
        </is>
      </c>
    </row>
    <row r="52">
      <c r="A52" s="5" t="inlineStr">
        <is>
          <t>T-051</t>
        </is>
      </c>
      <c r="B52" s="5" t="inlineStr">
        <is>
          <t>Hecho</t>
        </is>
      </c>
      <c r="C52" s="5" t="inlineStr">
        <is>
          <t>Comisión por tramos que paga el cliente encima del precio + análisis de costos de pasarelas</t>
        </is>
      </c>
      <c r="D52" s="6" t="inlineStr">
        <is>
          <t>Alta</t>
        </is>
      </c>
      <c r="E52" s="6" t="inlineStr">
        <is>
          <t>Hecho</t>
        </is>
      </c>
      <c r="F52" s="6" t="inlineStr">
        <is>
          <t>Claude</t>
        </is>
      </c>
      <c r="G52" s="6" t="inlineStr"/>
      <c r="H52" s="6" t="inlineStr">
        <is>
          <t>2026-10-16</t>
        </is>
      </c>
      <c r="I52" s="5" t="inlineStr"/>
      <c r="J52" s="5" t="inlineStr">
        <is>
          <t>ANALISIS_COMISION.md</t>
        </is>
      </c>
    </row>
    <row r="53">
      <c r="A53" s="5" t="inlineStr">
        <is>
          <t>T-052</t>
        </is>
      </c>
      <c r="B53" s="5" t="inlineStr">
        <is>
          <t>Hecho</t>
        </is>
      </c>
      <c r="C53" s="5" t="inlineStr">
        <is>
          <t>Guía de postulación a Corfo con las bases oficiales (Semilla Inicia), borrador de postulación y puente tesis → postulación; plan de adecuación a la Ley 21.719</t>
        </is>
      </c>
      <c r="D53" s="6" t="inlineStr">
        <is>
          <t>Alta</t>
        </is>
      </c>
      <c r="E53" s="6" t="inlineStr">
        <is>
          <t>Hecho</t>
        </is>
      </c>
      <c r="F53" s="6" t="inlineStr">
        <is>
          <t>Claude</t>
        </is>
      </c>
      <c r="G53" s="6" t="inlineStr"/>
      <c r="H53" s="6" t="inlineStr">
        <is>
          <t>2026-10-16</t>
        </is>
      </c>
      <c r="I53" s="5" t="inlineStr">
        <is>
          <t>Borradores a completar con tus datos</t>
        </is>
      </c>
      <c r="J53" s="5" t="inlineStr">
        <is>
          <t>docs/corfo/README.md</t>
        </is>
      </c>
    </row>
    <row r="54">
      <c r="A54" s="5" t="inlineStr">
        <is>
          <t>T-053</t>
        </is>
      </c>
      <c r="B54" s="5" t="inlineStr">
        <is>
          <t>Hecho</t>
        </is>
      </c>
      <c r="C54" s="5" t="inlineStr">
        <is>
          <t>Verificación sin biometría con video + cédula revisada por un moderador (el video se borra al resolver)</t>
        </is>
      </c>
      <c r="D54" s="6" t="inlineStr">
        <is>
          <t>Alta</t>
        </is>
      </c>
      <c r="E54" s="6" t="inlineStr">
        <is>
          <t>Hecho</t>
        </is>
      </c>
      <c r="F54" s="6" t="inlineStr">
        <is>
          <t>Claude</t>
        </is>
      </c>
      <c r="G54" s="6" t="inlineStr"/>
      <c r="H54" s="6" t="inlineStr">
        <is>
          <t>2026-10-16</t>
        </is>
      </c>
      <c r="I54" s="5" t="inlineStr"/>
      <c r="J54" s="5" t="inlineStr">
        <is>
          <t>docs/adr/0006</t>
        </is>
      </c>
    </row>
    <row r="55">
      <c r="A55" s="5" t="inlineStr">
        <is>
          <t>T-054</t>
        </is>
      </c>
      <c r="B55" s="5" t="inlineStr">
        <is>
          <t>Producto</t>
        </is>
      </c>
      <c r="C55" s="5" t="inlineStr">
        <is>
          <t>Bloque 1: medición de impacto (situación laboral, tipo de servicio, reparación evitó reemplazo, reporte_impacto)</t>
        </is>
      </c>
      <c r="D55" s="6" t="inlineStr">
        <is>
          <t>Alta</t>
        </is>
      </c>
      <c r="E55" s="6" t="inlineStr">
        <is>
          <t>Hecho</t>
        </is>
      </c>
      <c r="F55" s="6" t="inlineStr">
        <is>
          <t>Claude</t>
        </is>
      </c>
      <c r="G55" s="6" t="n"/>
      <c r="H55" s="6" t="inlineStr">
        <is>
          <t>2026-10-23</t>
        </is>
      </c>
      <c r="I55" s="5" t="inlineStr">
        <is>
          <t>Migración 0044; ADR 0008; reporte_impacto; falta revisión legal de la finalidad (Pendientes_dueño)</t>
        </is>
      </c>
      <c r="J55" s="5" t="inlineStr">
        <is>
          <t>Prompt de implementación Corfo 2026-10-23</t>
        </is>
      </c>
    </row>
    <row r="56">
      <c r="A56" s="5" t="inlineStr">
        <is>
          <t>T-055</t>
        </is>
      </c>
      <c r="B56" s="5" t="inlineStr">
        <is>
          <t>Producto</t>
        </is>
      </c>
      <c r="C56" s="5" t="inlineStr">
        <is>
          <t>Bloque 2: calculadora gratuita de valorización (/calculadora, PDF/xlsx, plantillas, ItemPresupuesto extendido)</t>
        </is>
      </c>
      <c r="D56" s="6" t="inlineStr">
        <is>
          <t>Alta</t>
        </is>
      </c>
      <c r="E56" s="6" t="inlineStr">
        <is>
          <t>Hecho</t>
        </is>
      </c>
      <c r="F56" s="6" t="inlineStr">
        <is>
          <t>Claude</t>
        </is>
      </c>
      <c r="G56" s="6" t="n"/>
      <c r="H56" s="6" t="inlineStr">
        <is>
          <t>2026-10-23</t>
        </is>
      </c>
      <c r="I56" s="5" t="inlineStr">
        <is>
          <t>Migración 0045; ADR 0009; falta que un contador confirme la retención (Pendientes_dueño)</t>
        </is>
      </c>
      <c r="J56" s="5" t="inlineStr">
        <is>
          <t>Prompt de implementación Corfo 2026-10-23</t>
        </is>
      </c>
    </row>
    <row r="57">
      <c r="A57" s="5" t="inlineStr">
        <is>
          <t>T-056</t>
        </is>
      </c>
      <c r="B57" s="5" t="inlineStr">
        <is>
          <t>Producto</t>
        </is>
      </c>
      <c r="C57" s="5" t="inlineStr">
        <is>
          <t>Bloque 3: boleta fase 1 (folio de boleta de honorarios, primera boleta)</t>
        </is>
      </c>
      <c r="D57" s="6" t="inlineStr">
        <is>
          <t>Alta</t>
        </is>
      </c>
      <c r="E57" s="6" t="inlineStr">
        <is>
          <t>Hecho</t>
        </is>
      </c>
      <c r="F57" s="6" t="inlineStr">
        <is>
          <t>Claude</t>
        </is>
      </c>
      <c r="G57" s="6" t="n"/>
      <c r="H57" s="6" t="inlineStr">
        <is>
          <t>2026-10-23</t>
        </is>
      </c>
      <c r="I57" s="5" t="inlineStr">
        <is>
          <t>Migración 0046; ADR 0010; el folio es declarado, no verificado con el SII</t>
        </is>
      </c>
      <c r="J57" s="5" t="inlineStr">
        <is>
          <t>Prompt de implementación Corfo 2026-10-23</t>
        </is>
      </c>
    </row>
    <row r="58">
      <c r="A58" s="5" t="inlineStr">
        <is>
          <t>T-057</t>
        </is>
      </c>
      <c r="B58" s="5" t="inlineStr">
        <is>
          <t>Producto</t>
        </is>
      </c>
      <c r="C58" s="5" t="inlineStr">
        <is>
          <t>Bloque 4: vía sin historial (destacar cédula + video en registro y portada)</t>
        </is>
      </c>
      <c r="D58" s="6" t="inlineStr">
        <is>
          <t>Alta</t>
        </is>
      </c>
      <c r="E58" s="6" t="inlineStr">
        <is>
          <t>Hecho</t>
        </is>
      </c>
      <c r="F58" s="6" t="inlineStr">
        <is>
          <t>Claude</t>
        </is>
      </c>
      <c r="G58" s="6" t="n"/>
      <c r="H58" s="6" t="inlineStr">
        <is>
          <t>2026-10-23</t>
        </is>
      </c>
      <c r="I58" s="5" t="inlineStr">
        <is>
          <t>Solo copy y presentación; se corrigió el aviso "0 fotos de tu rostro guardadas"; sigue pendiente la revisión legal del video y el documento</t>
        </is>
      </c>
      <c r="J58" s="5" t="inlineStr">
        <is>
          <t>Prompt de implementación Corfo 2026-10-23</t>
        </is>
      </c>
    </row>
  </sheetData>
  <autoFilter ref="A1:J54"/>
  <conditionalFormatting sqref="A2:J154">
    <cfRule type="expression" priority="1" dxfId="0">
      <formula>$E2="Hecho"</formula>
    </cfRule>
    <cfRule type="expression" priority="2" dxfId="1">
      <formula>$E2="Bloqueado"</formula>
    </cfRule>
    <cfRule type="expression" priority="3" dxfId="2">
      <formula>$E2="En curso"</formula>
    </cfRule>
  </conditionalFormatting>
  <dataValidations count="3">
    <dataValidation sqref="D2:D154" showDropDown="0" showInputMessage="0" showErrorMessage="0" allowBlank="1" type="list">
      <formula1>"Alta,Media,Baja"</formula1>
    </dataValidation>
    <dataValidation sqref="E2:E154" showDropDown="0" showInputMessage="0" showErrorMessage="0" allowBlank="1" type="list">
      <formula1>"Pendiente,En curso,Bloqueado,Hecho"</formula1>
    </dataValidation>
    <dataValidation sqref="F2:F154" showDropDown="0" showInputMessage="0" showErrorMessage="0" allowBlank="1" type="list">
      <formula1>"Dueño,Claude,Tercero"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0"/>
  <sheetViews>
    <sheetView workbookViewId="0">
      <pane ySplit="1" topLeftCell="A2" activePane="bottomLeft" state="frozen"/>
      <selection pane="bottomLeft" activeCell="A1" sqref="A1"/>
    </sheetView>
  </sheetViews>
  <sheetFormatPr baseColWidth="8" defaultRowHeight="15"/>
  <cols>
    <col width="70" customWidth="1" min="1" max="1"/>
    <col width="18" customWidth="1" min="2" max="2"/>
    <col width="14" customWidth="1" min="3" max="3"/>
    <col width="12" customWidth="1" min="4" max="4"/>
    <col width="14" customWidth="1" min="5" max="5"/>
    <col width="14" customWidth="1" min="6" max="6"/>
    <col width="50" customWidth="1" min="7" max="7"/>
  </cols>
  <sheetData>
    <row r="1">
      <c r="A1" s="7" t="inlineStr">
        <is>
          <t>Título</t>
        </is>
      </c>
      <c r="B1" s="7" t="inlineStr">
        <is>
          <t>Bucket</t>
        </is>
      </c>
      <c r="C1" s="7" t="inlineStr">
        <is>
          <t>Progreso</t>
        </is>
      </c>
      <c r="D1" s="7" t="inlineStr">
        <is>
          <t>Prioridad</t>
        </is>
      </c>
      <c r="E1" s="7" t="inlineStr">
        <is>
          <t>Fecha límite</t>
        </is>
      </c>
      <c r="F1" s="7" t="inlineStr">
        <is>
          <t>Asignado a</t>
        </is>
      </c>
      <c r="G1" s="7" t="inlineStr">
        <is>
          <t>Notas</t>
        </is>
      </c>
    </row>
    <row r="2">
      <c r="A2" s="5">
        <f>Tareas!C2</f>
        <v/>
      </c>
      <c r="B2" s="5">
        <f>Tareas!B2</f>
        <v/>
      </c>
      <c r="C2" s="5">
        <f>IF(Tareas!E2="Hecho","Completada",IF(Tareas!E2="En curso","En curso","No iniciada"))</f>
        <v/>
      </c>
      <c r="D2" s="5">
        <f>IF(Tareas!D2="Alta","Importante",IF(Tareas!D2="Media","Media","Baja"))</f>
        <v/>
      </c>
      <c r="E2" s="5">
        <f>IF(Tareas!H2="","",Tareas!H2)</f>
        <v/>
      </c>
      <c r="F2" s="5">
        <f>Tareas!F2</f>
        <v/>
      </c>
      <c r="G2" s="5">
        <f>Tareas!I2</f>
        <v/>
      </c>
    </row>
    <row r="3">
      <c r="A3" s="5">
        <f>Tareas!C3</f>
        <v/>
      </c>
      <c r="B3" s="5">
        <f>Tareas!B3</f>
        <v/>
      </c>
      <c r="C3" s="5">
        <f>IF(Tareas!E3="Hecho","Completada",IF(Tareas!E3="En curso","En curso","No iniciada"))</f>
        <v/>
      </c>
      <c r="D3" s="5">
        <f>IF(Tareas!D3="Alta","Importante",IF(Tareas!D3="Media","Media","Baja"))</f>
        <v/>
      </c>
      <c r="E3" s="5">
        <f>IF(Tareas!H3="","",Tareas!H3)</f>
        <v/>
      </c>
      <c r="F3" s="5">
        <f>Tareas!F3</f>
        <v/>
      </c>
      <c r="G3" s="5">
        <f>Tareas!I3</f>
        <v/>
      </c>
    </row>
    <row r="4">
      <c r="A4" s="5">
        <f>Tareas!C4</f>
        <v/>
      </c>
      <c r="B4" s="5">
        <f>Tareas!B4</f>
        <v/>
      </c>
      <c r="C4" s="5">
        <f>IF(Tareas!E4="Hecho","Completada",IF(Tareas!E4="En curso","En curso","No iniciada"))</f>
        <v/>
      </c>
      <c r="D4" s="5">
        <f>IF(Tareas!D4="Alta","Importante",IF(Tareas!D4="Media","Media","Baja"))</f>
        <v/>
      </c>
      <c r="E4" s="5">
        <f>IF(Tareas!H4="","",Tareas!H4)</f>
        <v/>
      </c>
      <c r="F4" s="5">
        <f>Tareas!F4</f>
        <v/>
      </c>
      <c r="G4" s="5">
        <f>Tareas!I4</f>
        <v/>
      </c>
    </row>
    <row r="5">
      <c r="A5" s="5">
        <f>Tareas!C5</f>
        <v/>
      </c>
      <c r="B5" s="5">
        <f>Tareas!B5</f>
        <v/>
      </c>
      <c r="C5" s="5">
        <f>IF(Tareas!E5="Hecho","Completada",IF(Tareas!E5="En curso","En curso","No iniciada"))</f>
        <v/>
      </c>
      <c r="D5" s="5">
        <f>IF(Tareas!D5="Alta","Importante",IF(Tareas!D5="Media","Media","Baja"))</f>
        <v/>
      </c>
      <c r="E5" s="5">
        <f>IF(Tareas!H5="","",Tareas!H5)</f>
        <v/>
      </c>
      <c r="F5" s="5">
        <f>Tareas!F5</f>
        <v/>
      </c>
      <c r="G5" s="5">
        <f>Tareas!I5</f>
        <v/>
      </c>
    </row>
    <row r="6">
      <c r="A6" s="5">
        <f>Tareas!C6</f>
        <v/>
      </c>
      <c r="B6" s="5">
        <f>Tareas!B6</f>
        <v/>
      </c>
      <c r="C6" s="5">
        <f>IF(Tareas!E6="Hecho","Completada",IF(Tareas!E6="En curso","En curso","No iniciada"))</f>
        <v/>
      </c>
      <c r="D6" s="5">
        <f>IF(Tareas!D6="Alta","Importante",IF(Tareas!D6="Media","Media","Baja"))</f>
        <v/>
      </c>
      <c r="E6" s="5">
        <f>IF(Tareas!H6="","",Tareas!H6)</f>
        <v/>
      </c>
      <c r="F6" s="5">
        <f>Tareas!F6</f>
        <v/>
      </c>
      <c r="G6" s="5">
        <f>Tareas!I6</f>
        <v/>
      </c>
    </row>
    <row r="7">
      <c r="A7" s="5">
        <f>Tareas!C7</f>
        <v/>
      </c>
      <c r="B7" s="5">
        <f>Tareas!B7</f>
        <v/>
      </c>
      <c r="C7" s="5">
        <f>IF(Tareas!E7="Hecho","Completada",IF(Tareas!E7="En curso","En curso","No iniciada"))</f>
        <v/>
      </c>
      <c r="D7" s="5">
        <f>IF(Tareas!D7="Alta","Importante",IF(Tareas!D7="Media","Media","Baja"))</f>
        <v/>
      </c>
      <c r="E7" s="5">
        <f>IF(Tareas!H7="","",Tareas!H7)</f>
        <v/>
      </c>
      <c r="F7" s="5">
        <f>Tareas!F7</f>
        <v/>
      </c>
      <c r="G7" s="5">
        <f>Tareas!I7</f>
        <v/>
      </c>
    </row>
    <row r="8">
      <c r="A8" s="5">
        <f>Tareas!C8</f>
        <v/>
      </c>
      <c r="B8" s="5">
        <f>Tareas!B8</f>
        <v/>
      </c>
      <c r="C8" s="5">
        <f>IF(Tareas!E8="Hecho","Completada",IF(Tareas!E8="En curso","En curso","No iniciada"))</f>
        <v/>
      </c>
      <c r="D8" s="5">
        <f>IF(Tareas!D8="Alta","Importante",IF(Tareas!D8="Media","Media","Baja"))</f>
        <v/>
      </c>
      <c r="E8" s="5">
        <f>IF(Tareas!H8="","",Tareas!H8)</f>
        <v/>
      </c>
      <c r="F8" s="5">
        <f>Tareas!F8</f>
        <v/>
      </c>
      <c r="G8" s="5">
        <f>Tareas!I8</f>
        <v/>
      </c>
    </row>
    <row r="9">
      <c r="A9" s="5">
        <f>Tareas!C9</f>
        <v/>
      </c>
      <c r="B9" s="5">
        <f>Tareas!B9</f>
        <v/>
      </c>
      <c r="C9" s="5">
        <f>IF(Tareas!E9="Hecho","Completada",IF(Tareas!E9="En curso","En curso","No iniciada"))</f>
        <v/>
      </c>
      <c r="D9" s="5">
        <f>IF(Tareas!D9="Alta","Importante",IF(Tareas!D9="Media","Media","Baja"))</f>
        <v/>
      </c>
      <c r="E9" s="5">
        <f>IF(Tareas!H9="","",Tareas!H9)</f>
        <v/>
      </c>
      <c r="F9" s="5">
        <f>Tareas!F9</f>
        <v/>
      </c>
      <c r="G9" s="5">
        <f>Tareas!I9</f>
        <v/>
      </c>
    </row>
    <row r="10">
      <c r="A10" s="5">
        <f>Tareas!C10</f>
        <v/>
      </c>
      <c r="B10" s="5">
        <f>Tareas!B10</f>
        <v/>
      </c>
      <c r="C10" s="5">
        <f>IF(Tareas!E10="Hecho","Completada",IF(Tareas!E10="En curso","En curso","No iniciada"))</f>
        <v/>
      </c>
      <c r="D10" s="5">
        <f>IF(Tareas!D10="Alta","Importante",IF(Tareas!D10="Media","Media","Baja"))</f>
        <v/>
      </c>
      <c r="E10" s="5">
        <f>IF(Tareas!H10="","",Tareas!H10)</f>
        <v/>
      </c>
      <c r="F10" s="5">
        <f>Tareas!F10</f>
        <v/>
      </c>
      <c r="G10" s="5">
        <f>Tareas!I10</f>
        <v/>
      </c>
    </row>
    <row r="11">
      <c r="A11" s="5">
        <f>Tareas!C11</f>
        <v/>
      </c>
      <c r="B11" s="5">
        <f>Tareas!B11</f>
        <v/>
      </c>
      <c r="C11" s="5">
        <f>IF(Tareas!E11="Hecho","Completada",IF(Tareas!E11="En curso","En curso","No iniciada"))</f>
        <v/>
      </c>
      <c r="D11" s="5">
        <f>IF(Tareas!D11="Alta","Importante",IF(Tareas!D11="Media","Media","Baja"))</f>
        <v/>
      </c>
      <c r="E11" s="5">
        <f>IF(Tareas!H11="","",Tareas!H11)</f>
        <v/>
      </c>
      <c r="F11" s="5">
        <f>Tareas!F11</f>
        <v/>
      </c>
      <c r="G11" s="5">
        <f>Tareas!I11</f>
        <v/>
      </c>
    </row>
    <row r="12">
      <c r="A12" s="5">
        <f>Tareas!C12</f>
        <v/>
      </c>
      <c r="B12" s="5">
        <f>Tareas!B12</f>
        <v/>
      </c>
      <c r="C12" s="5">
        <f>IF(Tareas!E12="Hecho","Completada",IF(Tareas!E12="En curso","En curso","No iniciada"))</f>
        <v/>
      </c>
      <c r="D12" s="5">
        <f>IF(Tareas!D12="Alta","Importante",IF(Tareas!D12="Media","Media","Baja"))</f>
        <v/>
      </c>
      <c r="E12" s="5">
        <f>IF(Tareas!H12="","",Tareas!H12)</f>
        <v/>
      </c>
      <c r="F12" s="5">
        <f>Tareas!F12</f>
        <v/>
      </c>
      <c r="G12" s="5">
        <f>Tareas!I12</f>
        <v/>
      </c>
    </row>
    <row r="13">
      <c r="A13" s="5">
        <f>Tareas!C13</f>
        <v/>
      </c>
      <c r="B13" s="5">
        <f>Tareas!B13</f>
        <v/>
      </c>
      <c r="C13" s="5">
        <f>IF(Tareas!E13="Hecho","Completada",IF(Tareas!E13="En curso","En curso","No iniciada"))</f>
        <v/>
      </c>
      <c r="D13" s="5">
        <f>IF(Tareas!D13="Alta","Importante",IF(Tareas!D13="Media","Media","Baja"))</f>
        <v/>
      </c>
      <c r="E13" s="5">
        <f>IF(Tareas!H13="","",Tareas!H13)</f>
        <v/>
      </c>
      <c r="F13" s="5">
        <f>Tareas!F13</f>
        <v/>
      </c>
      <c r="G13" s="5">
        <f>Tareas!I13</f>
        <v/>
      </c>
    </row>
    <row r="14">
      <c r="A14" s="5">
        <f>Tareas!C14</f>
        <v/>
      </c>
      <c r="B14" s="5">
        <f>Tareas!B14</f>
        <v/>
      </c>
      <c r="C14" s="5">
        <f>IF(Tareas!E14="Hecho","Completada",IF(Tareas!E14="En curso","En curso","No iniciada"))</f>
        <v/>
      </c>
      <c r="D14" s="5">
        <f>IF(Tareas!D14="Alta","Importante",IF(Tareas!D14="Media","Media","Baja"))</f>
        <v/>
      </c>
      <c r="E14" s="5">
        <f>IF(Tareas!H14="","",Tareas!H14)</f>
        <v/>
      </c>
      <c r="F14" s="5">
        <f>Tareas!F14</f>
        <v/>
      </c>
      <c r="G14" s="5">
        <f>Tareas!I14</f>
        <v/>
      </c>
    </row>
    <row r="15">
      <c r="A15" s="5">
        <f>Tareas!C15</f>
        <v/>
      </c>
      <c r="B15" s="5">
        <f>Tareas!B15</f>
        <v/>
      </c>
      <c r="C15" s="5">
        <f>IF(Tareas!E15="Hecho","Completada",IF(Tareas!E15="En curso","En curso","No iniciada"))</f>
        <v/>
      </c>
      <c r="D15" s="5">
        <f>IF(Tareas!D15="Alta","Importante",IF(Tareas!D15="Media","Media","Baja"))</f>
        <v/>
      </c>
      <c r="E15" s="5">
        <f>IF(Tareas!H15="","",Tareas!H15)</f>
        <v/>
      </c>
      <c r="F15" s="5">
        <f>Tareas!F15</f>
        <v/>
      </c>
      <c r="G15" s="5">
        <f>Tareas!I15</f>
        <v/>
      </c>
    </row>
    <row r="16">
      <c r="A16" s="5">
        <f>Tareas!C16</f>
        <v/>
      </c>
      <c r="B16" s="5">
        <f>Tareas!B16</f>
        <v/>
      </c>
      <c r="C16" s="5">
        <f>IF(Tareas!E16="Hecho","Completada",IF(Tareas!E16="En curso","En curso","No iniciada"))</f>
        <v/>
      </c>
      <c r="D16" s="5">
        <f>IF(Tareas!D16="Alta","Importante",IF(Tareas!D16="Media","Media","Baja"))</f>
        <v/>
      </c>
      <c r="E16" s="5">
        <f>IF(Tareas!H16="","",Tareas!H16)</f>
        <v/>
      </c>
      <c r="F16" s="5">
        <f>Tareas!F16</f>
        <v/>
      </c>
      <c r="G16" s="5">
        <f>Tareas!I16</f>
        <v/>
      </c>
    </row>
    <row r="17">
      <c r="A17" s="5">
        <f>Tareas!C17</f>
        <v/>
      </c>
      <c r="B17" s="5">
        <f>Tareas!B17</f>
        <v/>
      </c>
      <c r="C17" s="5">
        <f>IF(Tareas!E17="Hecho","Completada",IF(Tareas!E17="En curso","En curso","No iniciada"))</f>
        <v/>
      </c>
      <c r="D17" s="5">
        <f>IF(Tareas!D17="Alta","Importante",IF(Tareas!D17="Media","Media","Baja"))</f>
        <v/>
      </c>
      <c r="E17" s="5">
        <f>IF(Tareas!H17="","",Tareas!H17)</f>
        <v/>
      </c>
      <c r="F17" s="5">
        <f>Tareas!F17</f>
        <v/>
      </c>
      <c r="G17" s="5">
        <f>Tareas!I17</f>
        <v/>
      </c>
    </row>
    <row r="18">
      <c r="A18" s="5">
        <f>Tareas!C18</f>
        <v/>
      </c>
      <c r="B18" s="5">
        <f>Tareas!B18</f>
        <v/>
      </c>
      <c r="C18" s="5">
        <f>IF(Tareas!E18="Hecho","Completada",IF(Tareas!E18="En curso","En curso","No iniciada"))</f>
        <v/>
      </c>
      <c r="D18" s="5">
        <f>IF(Tareas!D18="Alta","Importante",IF(Tareas!D18="Media","Media","Baja"))</f>
        <v/>
      </c>
      <c r="E18" s="5">
        <f>IF(Tareas!H18="","",Tareas!H18)</f>
        <v/>
      </c>
      <c r="F18" s="5">
        <f>Tareas!F18</f>
        <v/>
      </c>
      <c r="G18" s="5">
        <f>Tareas!I18</f>
        <v/>
      </c>
    </row>
    <row r="19">
      <c r="A19" s="5">
        <f>Tareas!C19</f>
        <v/>
      </c>
      <c r="B19" s="5">
        <f>Tareas!B19</f>
        <v/>
      </c>
      <c r="C19" s="5">
        <f>IF(Tareas!E19="Hecho","Completada",IF(Tareas!E19="En curso","En curso","No iniciada"))</f>
        <v/>
      </c>
      <c r="D19" s="5">
        <f>IF(Tareas!D19="Alta","Importante",IF(Tareas!D19="Media","Media","Baja"))</f>
        <v/>
      </c>
      <c r="E19" s="5">
        <f>IF(Tareas!H19="","",Tareas!H19)</f>
        <v/>
      </c>
      <c r="F19" s="5">
        <f>Tareas!F19</f>
        <v/>
      </c>
      <c r="G19" s="5">
        <f>Tareas!I19</f>
        <v/>
      </c>
    </row>
    <row r="20">
      <c r="A20" s="5">
        <f>Tareas!C20</f>
        <v/>
      </c>
      <c r="B20" s="5">
        <f>Tareas!B20</f>
        <v/>
      </c>
      <c r="C20" s="5">
        <f>IF(Tareas!E20="Hecho","Completada",IF(Tareas!E20="En curso","En curso","No iniciada"))</f>
        <v/>
      </c>
      <c r="D20" s="5">
        <f>IF(Tareas!D20="Alta","Importante",IF(Tareas!D20="Media","Media","Baja"))</f>
        <v/>
      </c>
      <c r="E20" s="5">
        <f>IF(Tareas!H20="","",Tareas!H20)</f>
        <v/>
      </c>
      <c r="F20" s="5">
        <f>Tareas!F20</f>
        <v/>
      </c>
      <c r="G20" s="5">
        <f>Tareas!I20</f>
        <v/>
      </c>
    </row>
    <row r="21">
      <c r="A21" s="5">
        <f>Tareas!C21</f>
        <v/>
      </c>
      <c r="B21" s="5">
        <f>Tareas!B21</f>
        <v/>
      </c>
      <c r="C21" s="5">
        <f>IF(Tareas!E21="Hecho","Completada",IF(Tareas!E21="En curso","En curso","No iniciada"))</f>
        <v/>
      </c>
      <c r="D21" s="5">
        <f>IF(Tareas!D21="Alta","Importante",IF(Tareas!D21="Media","Media","Baja"))</f>
        <v/>
      </c>
      <c r="E21" s="5">
        <f>IF(Tareas!H21="","",Tareas!H21)</f>
        <v/>
      </c>
      <c r="F21" s="5">
        <f>Tareas!F21</f>
        <v/>
      </c>
      <c r="G21" s="5">
        <f>Tareas!I21</f>
        <v/>
      </c>
    </row>
    <row r="22">
      <c r="A22" s="5">
        <f>Tareas!C22</f>
        <v/>
      </c>
      <c r="B22" s="5">
        <f>Tareas!B22</f>
        <v/>
      </c>
      <c r="C22" s="5">
        <f>IF(Tareas!E22="Hecho","Completada",IF(Tareas!E22="En curso","En curso","No iniciada"))</f>
        <v/>
      </c>
      <c r="D22" s="5">
        <f>IF(Tareas!D22="Alta","Importante",IF(Tareas!D22="Media","Media","Baja"))</f>
        <v/>
      </c>
      <c r="E22" s="5">
        <f>IF(Tareas!H22="","",Tareas!H22)</f>
        <v/>
      </c>
      <c r="F22" s="5">
        <f>Tareas!F22</f>
        <v/>
      </c>
      <c r="G22" s="5">
        <f>Tareas!I22</f>
        <v/>
      </c>
    </row>
    <row r="23">
      <c r="A23" s="5">
        <f>Tareas!C23</f>
        <v/>
      </c>
      <c r="B23" s="5">
        <f>Tareas!B23</f>
        <v/>
      </c>
      <c r="C23" s="5">
        <f>IF(Tareas!E23="Hecho","Completada",IF(Tareas!E23="En curso","En curso","No iniciada"))</f>
        <v/>
      </c>
      <c r="D23" s="5">
        <f>IF(Tareas!D23="Alta","Importante",IF(Tareas!D23="Media","Media","Baja"))</f>
        <v/>
      </c>
      <c r="E23" s="5">
        <f>IF(Tareas!H23="","",Tareas!H23)</f>
        <v/>
      </c>
      <c r="F23" s="5">
        <f>Tareas!F23</f>
        <v/>
      </c>
      <c r="G23" s="5">
        <f>Tareas!I23</f>
        <v/>
      </c>
    </row>
    <row r="24">
      <c r="A24" s="5">
        <f>Tareas!C24</f>
        <v/>
      </c>
      <c r="B24" s="5">
        <f>Tareas!B24</f>
        <v/>
      </c>
      <c r="C24" s="5">
        <f>IF(Tareas!E24="Hecho","Completada",IF(Tareas!E24="En curso","En curso","No iniciada"))</f>
        <v/>
      </c>
      <c r="D24" s="5">
        <f>IF(Tareas!D24="Alta","Importante",IF(Tareas!D24="Media","Media","Baja"))</f>
        <v/>
      </c>
      <c r="E24" s="5">
        <f>IF(Tareas!H24="","",Tareas!H24)</f>
        <v/>
      </c>
      <c r="F24" s="5">
        <f>Tareas!F24</f>
        <v/>
      </c>
      <c r="G24" s="5">
        <f>Tareas!I24</f>
        <v/>
      </c>
    </row>
    <row r="25">
      <c r="A25" s="5">
        <f>Tareas!C25</f>
        <v/>
      </c>
      <c r="B25" s="5">
        <f>Tareas!B25</f>
        <v/>
      </c>
      <c r="C25" s="5">
        <f>IF(Tareas!E25="Hecho","Completada",IF(Tareas!E25="En curso","En curso","No iniciada"))</f>
        <v/>
      </c>
      <c r="D25" s="5">
        <f>IF(Tareas!D25="Alta","Importante",IF(Tareas!D25="Media","Media","Baja"))</f>
        <v/>
      </c>
      <c r="E25" s="5">
        <f>IF(Tareas!H25="","",Tareas!H25)</f>
        <v/>
      </c>
      <c r="F25" s="5">
        <f>Tareas!F25</f>
        <v/>
      </c>
      <c r="G25" s="5">
        <f>Tareas!I25</f>
        <v/>
      </c>
    </row>
    <row r="26">
      <c r="A26" s="5">
        <f>Tareas!C26</f>
        <v/>
      </c>
      <c r="B26" s="5">
        <f>Tareas!B26</f>
        <v/>
      </c>
      <c r="C26" s="5">
        <f>IF(Tareas!E26="Hecho","Completada",IF(Tareas!E26="En curso","En curso","No iniciada"))</f>
        <v/>
      </c>
      <c r="D26" s="5">
        <f>IF(Tareas!D26="Alta","Importante",IF(Tareas!D26="Media","Media","Baja"))</f>
        <v/>
      </c>
      <c r="E26" s="5">
        <f>IF(Tareas!H26="","",Tareas!H26)</f>
        <v/>
      </c>
      <c r="F26" s="5">
        <f>Tareas!F26</f>
        <v/>
      </c>
      <c r="G26" s="5">
        <f>Tareas!I26</f>
        <v/>
      </c>
    </row>
    <row r="27">
      <c r="A27" s="5">
        <f>Tareas!C27</f>
        <v/>
      </c>
      <c r="B27" s="5">
        <f>Tareas!B27</f>
        <v/>
      </c>
      <c r="C27" s="5">
        <f>IF(Tareas!E27="Hecho","Completada",IF(Tareas!E27="En curso","En curso","No iniciada"))</f>
        <v/>
      </c>
      <c r="D27" s="5">
        <f>IF(Tareas!D27="Alta","Importante",IF(Tareas!D27="Media","Media","Baja"))</f>
        <v/>
      </c>
      <c r="E27" s="5">
        <f>IF(Tareas!H27="","",Tareas!H27)</f>
        <v/>
      </c>
      <c r="F27" s="5">
        <f>Tareas!F27</f>
        <v/>
      </c>
      <c r="G27" s="5">
        <f>Tareas!I27</f>
        <v/>
      </c>
    </row>
    <row r="28">
      <c r="A28" s="5">
        <f>Tareas!C28</f>
        <v/>
      </c>
      <c r="B28" s="5">
        <f>Tareas!B28</f>
        <v/>
      </c>
      <c r="C28" s="5">
        <f>IF(Tareas!E28="Hecho","Completada",IF(Tareas!E28="En curso","En curso","No iniciada"))</f>
        <v/>
      </c>
      <c r="D28" s="5">
        <f>IF(Tareas!D28="Alta","Importante",IF(Tareas!D28="Media","Media","Baja"))</f>
        <v/>
      </c>
      <c r="E28" s="5">
        <f>IF(Tareas!H28="","",Tareas!H28)</f>
        <v/>
      </c>
      <c r="F28" s="5">
        <f>Tareas!F28</f>
        <v/>
      </c>
      <c r="G28" s="5">
        <f>Tareas!I28</f>
        <v/>
      </c>
    </row>
    <row r="29">
      <c r="A29" s="5">
        <f>Tareas!C29</f>
        <v/>
      </c>
      <c r="B29" s="5">
        <f>Tareas!B29</f>
        <v/>
      </c>
      <c r="C29" s="5">
        <f>IF(Tareas!E29="Hecho","Completada",IF(Tareas!E29="En curso","En curso","No iniciada"))</f>
        <v/>
      </c>
      <c r="D29" s="5">
        <f>IF(Tareas!D29="Alta","Importante",IF(Tareas!D29="Media","Media","Baja"))</f>
        <v/>
      </c>
      <c r="E29" s="5">
        <f>IF(Tareas!H29="","",Tareas!H29)</f>
        <v/>
      </c>
      <c r="F29" s="5">
        <f>Tareas!F29</f>
        <v/>
      </c>
      <c r="G29" s="5">
        <f>Tareas!I29</f>
        <v/>
      </c>
    </row>
    <row r="30">
      <c r="A30" s="5">
        <f>Tareas!C30</f>
        <v/>
      </c>
      <c r="B30" s="5">
        <f>Tareas!B30</f>
        <v/>
      </c>
      <c r="C30" s="5">
        <f>IF(Tareas!E30="Hecho","Completada",IF(Tareas!E30="En curso","En curso","No iniciada"))</f>
        <v/>
      </c>
      <c r="D30" s="5">
        <f>IF(Tareas!D30="Alta","Importante",IF(Tareas!D30="Media","Media","Baja"))</f>
        <v/>
      </c>
      <c r="E30" s="5">
        <f>IF(Tareas!H30="","",Tareas!H30)</f>
        <v/>
      </c>
      <c r="F30" s="5">
        <f>Tareas!F30</f>
        <v/>
      </c>
      <c r="G30" s="5">
        <f>Tareas!I30</f>
        <v/>
      </c>
    </row>
    <row r="31">
      <c r="A31" s="5">
        <f>Tareas!C31</f>
        <v/>
      </c>
      <c r="B31" s="5">
        <f>Tareas!B31</f>
        <v/>
      </c>
      <c r="C31" s="5">
        <f>IF(Tareas!E31="Hecho","Completada",IF(Tareas!E31="En curso","En curso","No iniciada"))</f>
        <v/>
      </c>
      <c r="D31" s="5">
        <f>IF(Tareas!D31="Alta","Importante",IF(Tareas!D31="Media","Media","Baja"))</f>
        <v/>
      </c>
      <c r="E31" s="5">
        <f>IF(Tareas!H31="","",Tareas!H31)</f>
        <v/>
      </c>
      <c r="F31" s="5">
        <f>Tareas!F31</f>
        <v/>
      </c>
      <c r="G31" s="5">
        <f>Tareas!I31</f>
        <v/>
      </c>
    </row>
    <row r="32">
      <c r="A32" s="5">
        <f>Tareas!C32</f>
        <v/>
      </c>
      <c r="B32" s="5">
        <f>Tareas!B32</f>
        <v/>
      </c>
      <c r="C32" s="5">
        <f>IF(Tareas!E32="Hecho","Completada",IF(Tareas!E32="En curso","En curso","No iniciada"))</f>
        <v/>
      </c>
      <c r="D32" s="5">
        <f>IF(Tareas!D32="Alta","Importante",IF(Tareas!D32="Media","Media","Baja"))</f>
        <v/>
      </c>
      <c r="E32" s="5">
        <f>IF(Tareas!H32="","",Tareas!H32)</f>
        <v/>
      </c>
      <c r="F32" s="5">
        <f>Tareas!F32</f>
        <v/>
      </c>
      <c r="G32" s="5">
        <f>Tareas!I32</f>
        <v/>
      </c>
    </row>
    <row r="33">
      <c r="A33" s="5">
        <f>Tareas!C33</f>
        <v/>
      </c>
      <c r="B33" s="5">
        <f>Tareas!B33</f>
        <v/>
      </c>
      <c r="C33" s="5">
        <f>IF(Tareas!E33="Hecho","Completada",IF(Tareas!E33="En curso","En curso","No iniciada"))</f>
        <v/>
      </c>
      <c r="D33" s="5">
        <f>IF(Tareas!D33="Alta","Importante",IF(Tareas!D33="Media","Media","Baja"))</f>
        <v/>
      </c>
      <c r="E33" s="5">
        <f>IF(Tareas!H33="","",Tareas!H33)</f>
        <v/>
      </c>
      <c r="F33" s="5">
        <f>Tareas!F33</f>
        <v/>
      </c>
      <c r="G33" s="5">
        <f>Tareas!I33</f>
        <v/>
      </c>
    </row>
    <row r="34">
      <c r="A34" s="5">
        <f>Tareas!C34</f>
        <v/>
      </c>
      <c r="B34" s="5">
        <f>Tareas!B34</f>
        <v/>
      </c>
      <c r="C34" s="5">
        <f>IF(Tareas!E34="Hecho","Completada",IF(Tareas!E34="En curso","En curso","No iniciada"))</f>
        <v/>
      </c>
      <c r="D34" s="5">
        <f>IF(Tareas!D34="Alta","Importante",IF(Tareas!D34="Media","Media","Baja"))</f>
        <v/>
      </c>
      <c r="E34" s="5">
        <f>IF(Tareas!H34="","",Tareas!H34)</f>
        <v/>
      </c>
      <c r="F34" s="5">
        <f>Tareas!F34</f>
        <v/>
      </c>
      <c r="G34" s="5">
        <f>Tareas!I34</f>
        <v/>
      </c>
    </row>
    <row r="35">
      <c r="A35" s="5">
        <f>Tareas!C35</f>
        <v/>
      </c>
      <c r="B35" s="5">
        <f>Tareas!B35</f>
        <v/>
      </c>
      <c r="C35" s="5">
        <f>IF(Tareas!E35="Hecho","Completada",IF(Tareas!E35="En curso","En curso","No iniciada"))</f>
        <v/>
      </c>
      <c r="D35" s="5">
        <f>IF(Tareas!D35="Alta","Importante",IF(Tareas!D35="Media","Media","Baja"))</f>
        <v/>
      </c>
      <c r="E35" s="5">
        <f>IF(Tareas!H35="","",Tareas!H35)</f>
        <v/>
      </c>
      <c r="F35" s="5">
        <f>Tareas!F35</f>
        <v/>
      </c>
      <c r="G35" s="5">
        <f>Tareas!I35</f>
        <v/>
      </c>
    </row>
    <row r="36">
      <c r="A36" s="5">
        <f>Tareas!C36</f>
        <v/>
      </c>
      <c r="B36" s="5">
        <f>Tareas!B36</f>
        <v/>
      </c>
      <c r="C36" s="5">
        <f>IF(Tareas!E36="Hecho","Completada",IF(Tareas!E36="En curso","En curso","No iniciada"))</f>
        <v/>
      </c>
      <c r="D36" s="5">
        <f>IF(Tareas!D36="Alta","Importante",IF(Tareas!D36="Media","Media","Baja"))</f>
        <v/>
      </c>
      <c r="E36" s="5">
        <f>IF(Tareas!H36="","",Tareas!H36)</f>
        <v/>
      </c>
      <c r="F36" s="5">
        <f>Tareas!F36</f>
        <v/>
      </c>
      <c r="G36" s="5">
        <f>Tareas!I36</f>
        <v/>
      </c>
    </row>
    <row r="37">
      <c r="A37" s="5">
        <f>Tareas!C37</f>
        <v/>
      </c>
      <c r="B37" s="5">
        <f>Tareas!B37</f>
        <v/>
      </c>
      <c r="C37" s="5">
        <f>IF(Tareas!E37="Hecho","Completada",IF(Tareas!E37="En curso","En curso","No iniciada"))</f>
        <v/>
      </c>
      <c r="D37" s="5">
        <f>IF(Tareas!D37="Alta","Importante",IF(Tareas!D37="Media","Media","Baja"))</f>
        <v/>
      </c>
      <c r="E37" s="5">
        <f>IF(Tareas!H37="","",Tareas!H37)</f>
        <v/>
      </c>
      <c r="F37" s="5">
        <f>Tareas!F37</f>
        <v/>
      </c>
      <c r="G37" s="5">
        <f>Tareas!I37</f>
        <v/>
      </c>
    </row>
    <row r="38">
      <c r="A38" s="5">
        <f>Tareas!C38</f>
        <v/>
      </c>
      <c r="B38" s="5">
        <f>Tareas!B38</f>
        <v/>
      </c>
      <c r="C38" s="5">
        <f>IF(Tareas!E38="Hecho","Completada",IF(Tareas!E38="En curso","En curso","No iniciada"))</f>
        <v/>
      </c>
      <c r="D38" s="5">
        <f>IF(Tareas!D38="Alta","Importante",IF(Tareas!D38="Media","Media","Baja"))</f>
        <v/>
      </c>
      <c r="E38" s="5">
        <f>IF(Tareas!H38="","",Tareas!H38)</f>
        <v/>
      </c>
      <c r="F38" s="5">
        <f>Tareas!F38</f>
        <v/>
      </c>
      <c r="G38" s="5">
        <f>Tareas!I38</f>
        <v/>
      </c>
    </row>
    <row r="39">
      <c r="A39" s="5">
        <f>Tareas!C39</f>
        <v/>
      </c>
      <c r="B39" s="5">
        <f>Tareas!B39</f>
        <v/>
      </c>
      <c r="C39" s="5">
        <f>IF(Tareas!E39="Hecho","Completada",IF(Tareas!E39="En curso","En curso","No iniciada"))</f>
        <v/>
      </c>
      <c r="D39" s="5">
        <f>IF(Tareas!D39="Alta","Importante",IF(Tareas!D39="Media","Media","Baja"))</f>
        <v/>
      </c>
      <c r="E39" s="5">
        <f>IF(Tareas!H39="","",Tareas!H39)</f>
        <v/>
      </c>
      <c r="F39" s="5">
        <f>Tareas!F39</f>
        <v/>
      </c>
      <c r="G39" s="5">
        <f>Tareas!I39</f>
        <v/>
      </c>
    </row>
    <row r="40">
      <c r="A40" s="5">
        <f>Tareas!C40</f>
        <v/>
      </c>
      <c r="B40" s="5">
        <f>Tareas!B40</f>
        <v/>
      </c>
      <c r="C40" s="5">
        <f>IF(Tareas!E40="Hecho","Completada",IF(Tareas!E40="En curso","En curso","No iniciada"))</f>
        <v/>
      </c>
      <c r="D40" s="5">
        <f>IF(Tareas!D40="Alta","Importante",IF(Tareas!D40="Media","Media","Baja"))</f>
        <v/>
      </c>
      <c r="E40" s="5">
        <f>IF(Tareas!H40="","",Tareas!H40)</f>
        <v/>
      </c>
      <c r="F40" s="5">
        <f>Tareas!F40</f>
        <v/>
      </c>
      <c r="G40" s="5">
        <f>Tareas!I40</f>
        <v/>
      </c>
    </row>
    <row r="41">
      <c r="A41" s="5">
        <f>Tareas!C41</f>
        <v/>
      </c>
      <c r="B41" s="5">
        <f>Tareas!B41</f>
        <v/>
      </c>
      <c r="C41" s="5">
        <f>IF(Tareas!E41="Hecho","Completada",IF(Tareas!E41="En curso","En curso","No iniciada"))</f>
        <v/>
      </c>
      <c r="D41" s="5">
        <f>IF(Tareas!D41="Alta","Importante",IF(Tareas!D41="Media","Media","Baja"))</f>
        <v/>
      </c>
      <c r="E41" s="5">
        <f>IF(Tareas!H41="","",Tareas!H41)</f>
        <v/>
      </c>
      <c r="F41" s="5">
        <f>Tareas!F41</f>
        <v/>
      </c>
      <c r="G41" s="5">
        <f>Tareas!I41</f>
        <v/>
      </c>
    </row>
    <row r="42">
      <c r="A42" s="5">
        <f>Tareas!C42</f>
        <v/>
      </c>
      <c r="B42" s="5">
        <f>Tareas!B42</f>
        <v/>
      </c>
      <c r="C42" s="5">
        <f>IF(Tareas!E42="Hecho","Completada",IF(Tareas!E42="En curso","En curso","No iniciada"))</f>
        <v/>
      </c>
      <c r="D42" s="5">
        <f>IF(Tareas!D42="Alta","Importante",IF(Tareas!D42="Media","Media","Baja"))</f>
        <v/>
      </c>
      <c r="E42" s="5">
        <f>IF(Tareas!H42="","",Tareas!H42)</f>
        <v/>
      </c>
      <c r="F42" s="5">
        <f>Tareas!F42</f>
        <v/>
      </c>
      <c r="G42" s="5">
        <f>Tareas!I42</f>
        <v/>
      </c>
    </row>
    <row r="43">
      <c r="A43" s="5">
        <f>Tareas!C43</f>
        <v/>
      </c>
      <c r="B43" s="5">
        <f>Tareas!B43</f>
        <v/>
      </c>
      <c r="C43" s="5">
        <f>IF(Tareas!E43="Hecho","Completada",IF(Tareas!E43="En curso","En curso","No iniciada"))</f>
        <v/>
      </c>
      <c r="D43" s="5">
        <f>IF(Tareas!D43="Alta","Importante",IF(Tareas!D43="Media","Media","Baja"))</f>
        <v/>
      </c>
      <c r="E43" s="5">
        <f>IF(Tareas!H43="","",Tareas!H43)</f>
        <v/>
      </c>
      <c r="F43" s="5">
        <f>Tareas!F43</f>
        <v/>
      </c>
      <c r="G43" s="5">
        <f>Tareas!I43</f>
        <v/>
      </c>
    </row>
    <row r="44">
      <c r="A44" s="5">
        <f>Tareas!C44</f>
        <v/>
      </c>
      <c r="B44" s="5">
        <f>Tareas!B44</f>
        <v/>
      </c>
      <c r="C44" s="5">
        <f>IF(Tareas!E44="Hecho","Completada",IF(Tareas!E44="En curso","En curso","No iniciada"))</f>
        <v/>
      </c>
      <c r="D44" s="5">
        <f>IF(Tareas!D44="Alta","Importante",IF(Tareas!D44="Media","Media","Baja"))</f>
        <v/>
      </c>
      <c r="E44" s="5">
        <f>IF(Tareas!H44="","",Tareas!H44)</f>
        <v/>
      </c>
      <c r="F44" s="5">
        <f>Tareas!F44</f>
        <v/>
      </c>
      <c r="G44" s="5">
        <f>Tareas!I44</f>
        <v/>
      </c>
    </row>
    <row r="45">
      <c r="A45" s="5">
        <f>Tareas!C45</f>
        <v/>
      </c>
      <c r="B45" s="5">
        <f>Tareas!B45</f>
        <v/>
      </c>
      <c r="C45" s="5">
        <f>IF(Tareas!E45="Hecho","Completada",IF(Tareas!E45="En curso","En curso","No iniciada"))</f>
        <v/>
      </c>
      <c r="D45" s="5">
        <f>IF(Tareas!D45="Alta","Importante",IF(Tareas!D45="Media","Media","Baja"))</f>
        <v/>
      </c>
      <c r="E45" s="5">
        <f>IF(Tareas!H45="","",Tareas!H45)</f>
        <v/>
      </c>
      <c r="F45" s="5">
        <f>Tareas!F45</f>
        <v/>
      </c>
      <c r="G45" s="5">
        <f>Tareas!I45</f>
        <v/>
      </c>
    </row>
    <row r="46">
      <c r="A46" s="5">
        <f>Tareas!C46</f>
        <v/>
      </c>
      <c r="B46" s="5">
        <f>Tareas!B46</f>
        <v/>
      </c>
      <c r="C46" s="5">
        <f>IF(Tareas!E46="Hecho","Completada",IF(Tareas!E46="En curso","En curso","No iniciada"))</f>
        <v/>
      </c>
      <c r="D46" s="5">
        <f>IF(Tareas!D46="Alta","Importante",IF(Tareas!D46="Media","Media","Baja"))</f>
        <v/>
      </c>
      <c r="E46" s="5">
        <f>IF(Tareas!H46="","",Tareas!H46)</f>
        <v/>
      </c>
      <c r="F46" s="5">
        <f>Tareas!F46</f>
        <v/>
      </c>
      <c r="G46" s="5">
        <f>Tareas!I46</f>
        <v/>
      </c>
    </row>
    <row r="47">
      <c r="A47" s="5">
        <f>Tareas!C47</f>
        <v/>
      </c>
      <c r="B47" s="5">
        <f>Tareas!B47</f>
        <v/>
      </c>
      <c r="C47" s="5">
        <f>IF(Tareas!E47="Hecho","Completada",IF(Tareas!E47="En curso","En curso","No iniciada"))</f>
        <v/>
      </c>
      <c r="D47" s="5">
        <f>IF(Tareas!D47="Alta","Importante",IF(Tareas!D47="Media","Media","Baja"))</f>
        <v/>
      </c>
      <c r="E47" s="5">
        <f>IF(Tareas!H47="","",Tareas!H47)</f>
        <v/>
      </c>
      <c r="F47" s="5">
        <f>Tareas!F47</f>
        <v/>
      </c>
      <c r="G47" s="5">
        <f>Tareas!I47</f>
        <v/>
      </c>
    </row>
    <row r="48">
      <c r="A48" s="5">
        <f>Tareas!C48</f>
        <v/>
      </c>
      <c r="B48" s="5">
        <f>Tareas!B48</f>
        <v/>
      </c>
      <c r="C48" s="5">
        <f>IF(Tareas!E48="Hecho","Completada",IF(Tareas!E48="En curso","En curso","No iniciada"))</f>
        <v/>
      </c>
      <c r="D48" s="5">
        <f>IF(Tareas!D48="Alta","Importante",IF(Tareas!D48="Media","Media","Baja"))</f>
        <v/>
      </c>
      <c r="E48" s="5">
        <f>IF(Tareas!H48="","",Tareas!H48)</f>
        <v/>
      </c>
      <c r="F48" s="5">
        <f>Tareas!F48</f>
        <v/>
      </c>
      <c r="G48" s="5">
        <f>Tareas!I48</f>
        <v/>
      </c>
    </row>
    <row r="49">
      <c r="A49" s="5">
        <f>Tareas!C49</f>
        <v/>
      </c>
      <c r="B49" s="5">
        <f>Tareas!B49</f>
        <v/>
      </c>
      <c r="C49" s="5">
        <f>IF(Tareas!E49="Hecho","Completada",IF(Tareas!E49="En curso","En curso","No iniciada"))</f>
        <v/>
      </c>
      <c r="D49" s="5">
        <f>IF(Tareas!D49="Alta","Importante",IF(Tareas!D49="Media","Media","Baja"))</f>
        <v/>
      </c>
      <c r="E49" s="5">
        <f>IF(Tareas!H49="","",Tareas!H49)</f>
        <v/>
      </c>
      <c r="F49" s="5">
        <f>Tareas!F49</f>
        <v/>
      </c>
      <c r="G49" s="5">
        <f>Tareas!I49</f>
        <v/>
      </c>
    </row>
    <row r="50">
      <c r="A50" s="5">
        <f>Tareas!C50</f>
        <v/>
      </c>
      <c r="B50" s="5">
        <f>Tareas!B50</f>
        <v/>
      </c>
      <c r="C50" s="5">
        <f>IF(Tareas!E50="Hecho","Completada",IF(Tareas!E50="En curso","En curso","No iniciada"))</f>
        <v/>
      </c>
      <c r="D50" s="5">
        <f>IF(Tareas!D50="Alta","Importante",IF(Tareas!D50="Media","Media","Baja"))</f>
        <v/>
      </c>
      <c r="E50" s="5">
        <f>IF(Tareas!H50="","",Tareas!H50)</f>
        <v/>
      </c>
      <c r="F50" s="5">
        <f>Tareas!F50</f>
        <v/>
      </c>
      <c r="G50" s="5">
        <f>Tareas!I50</f>
        <v/>
      </c>
    </row>
    <row r="51">
      <c r="A51" s="5">
        <f>Tareas!C51</f>
        <v/>
      </c>
      <c r="B51" s="5">
        <f>Tareas!B51</f>
        <v/>
      </c>
      <c r="C51" s="5">
        <f>IF(Tareas!E51="Hecho","Completada",IF(Tareas!E51="En curso","En curso","No iniciada"))</f>
        <v/>
      </c>
      <c r="D51" s="5">
        <f>IF(Tareas!D51="Alta","Importante",IF(Tareas!D51="Media","Media","Baja"))</f>
        <v/>
      </c>
      <c r="E51" s="5">
        <f>IF(Tareas!H51="","",Tareas!H51)</f>
        <v/>
      </c>
      <c r="F51" s="5">
        <f>Tareas!F51</f>
        <v/>
      </c>
      <c r="G51" s="5">
        <f>Tareas!I51</f>
        <v/>
      </c>
    </row>
    <row r="52">
      <c r="A52" s="5">
        <f>Tareas!C52</f>
        <v/>
      </c>
      <c r="B52" s="5">
        <f>Tareas!B52</f>
        <v/>
      </c>
      <c r="C52" s="5">
        <f>IF(Tareas!E52="Hecho","Completada",IF(Tareas!E52="En curso","En curso","No iniciada"))</f>
        <v/>
      </c>
      <c r="D52" s="5">
        <f>IF(Tareas!D52="Alta","Importante",IF(Tareas!D52="Media","Media","Baja"))</f>
        <v/>
      </c>
      <c r="E52" s="5">
        <f>IF(Tareas!H52="","",Tareas!H52)</f>
        <v/>
      </c>
      <c r="F52" s="5">
        <f>Tareas!F52</f>
        <v/>
      </c>
      <c r="G52" s="5">
        <f>Tareas!I52</f>
        <v/>
      </c>
    </row>
    <row r="53">
      <c r="A53" s="5">
        <f>Tareas!C53</f>
        <v/>
      </c>
      <c r="B53" s="5">
        <f>Tareas!B53</f>
        <v/>
      </c>
      <c r="C53" s="5">
        <f>IF(Tareas!E53="Hecho","Completada",IF(Tareas!E53="En curso","En curso","No iniciada"))</f>
        <v/>
      </c>
      <c r="D53" s="5">
        <f>IF(Tareas!D53="Alta","Importante",IF(Tareas!D53="Media","Media","Baja"))</f>
        <v/>
      </c>
      <c r="E53" s="5">
        <f>IF(Tareas!H53="","",Tareas!H53)</f>
        <v/>
      </c>
      <c r="F53" s="5">
        <f>Tareas!F53</f>
        <v/>
      </c>
      <c r="G53" s="5">
        <f>Tareas!I53</f>
        <v/>
      </c>
    </row>
    <row r="54">
      <c r="A54" s="5">
        <f>Tareas!C54</f>
        <v/>
      </c>
      <c r="B54" s="5">
        <f>Tareas!B54</f>
        <v/>
      </c>
      <c r="C54" s="5">
        <f>IF(Tareas!E54="Hecho","Completada",IF(Tareas!E54="En curso","En curso","No iniciada"))</f>
        <v/>
      </c>
      <c r="D54" s="5">
        <f>IF(Tareas!D54="Alta","Importante",IF(Tareas!D54="Media","Media","Baja"))</f>
        <v/>
      </c>
      <c r="E54" s="5">
        <f>IF(Tareas!H54="","",Tareas!H54)</f>
        <v/>
      </c>
      <c r="F54" s="5">
        <f>Tareas!F54</f>
        <v/>
      </c>
      <c r="G54" s="5">
        <f>Tareas!I54</f>
        <v/>
      </c>
    </row>
    <row r="55">
      <c r="A55" s="5">
        <f>Tareas!C55</f>
        <v/>
      </c>
      <c r="B55" s="5">
        <f>Tareas!B55</f>
        <v/>
      </c>
      <c r="C55" s="5">
        <f>IF(Tareas!E55="Hecho","Completada",IF(Tareas!E55="En curso","En curso","No iniciada"))</f>
        <v/>
      </c>
      <c r="D55" s="5">
        <f>IF(Tareas!D55="Alta","Importante",IF(Tareas!D55="Media","Media","Baja"))</f>
        <v/>
      </c>
      <c r="E55" s="5">
        <f>IF(Tareas!H55="","",Tareas!H55)</f>
        <v/>
      </c>
      <c r="F55" s="5">
        <f>Tareas!F55</f>
        <v/>
      </c>
      <c r="G55" s="5">
        <f>Tareas!I55</f>
        <v/>
      </c>
    </row>
    <row r="56">
      <c r="A56" s="5">
        <f>Tareas!C56</f>
        <v/>
      </c>
      <c r="B56" s="5">
        <f>Tareas!B56</f>
        <v/>
      </c>
      <c r="C56" s="5">
        <f>IF(Tareas!E56="Hecho","Completada",IF(Tareas!E56="En curso","En curso","No iniciada"))</f>
        <v/>
      </c>
      <c r="D56" s="5">
        <f>IF(Tareas!D56="Alta","Importante",IF(Tareas!D56="Media","Media","Baja"))</f>
        <v/>
      </c>
      <c r="E56" s="5">
        <f>IF(Tareas!H56="","",Tareas!H56)</f>
        <v/>
      </c>
      <c r="F56" s="5">
        <f>Tareas!F56</f>
        <v/>
      </c>
      <c r="G56" s="5">
        <f>Tareas!I56</f>
        <v/>
      </c>
    </row>
    <row r="57">
      <c r="A57" s="5">
        <f>Tareas!C57</f>
        <v/>
      </c>
      <c r="B57" s="5">
        <f>Tareas!B57</f>
        <v/>
      </c>
      <c r="C57" s="5">
        <f>IF(Tareas!E57="Hecho","Completada",IF(Tareas!E57="En curso","En curso","No iniciada"))</f>
        <v/>
      </c>
      <c r="D57" s="5">
        <f>IF(Tareas!D57="Alta","Importante",IF(Tareas!D57="Media","Media","Baja"))</f>
        <v/>
      </c>
      <c r="E57" s="5">
        <f>IF(Tareas!H57="","",Tareas!H57)</f>
        <v/>
      </c>
      <c r="F57" s="5">
        <f>Tareas!F57</f>
        <v/>
      </c>
      <c r="G57" s="5">
        <f>Tareas!I57</f>
        <v/>
      </c>
    </row>
    <row r="58">
      <c r="A58" s="5">
        <f>Tareas!C58</f>
        <v/>
      </c>
      <c r="B58" s="5">
        <f>Tareas!B58</f>
        <v/>
      </c>
      <c r="C58" s="5">
        <f>IF(Tareas!E58="Hecho","Completada",IF(Tareas!E58="En curso","En curso","No iniciada"))</f>
        <v/>
      </c>
      <c r="D58" s="5">
        <f>IF(Tareas!D58="Alta","Importante",IF(Tareas!D58="Media","Media","Baja"))</f>
        <v/>
      </c>
      <c r="E58" s="5">
        <f>IF(Tareas!H58="","",Tareas!H58)</f>
        <v/>
      </c>
      <c r="F58" s="5">
        <f>Tareas!F58</f>
        <v/>
      </c>
      <c r="G58" s="5">
        <f>Tareas!I58</f>
        <v/>
      </c>
    </row>
    <row r="60">
      <c r="A60" s="8" t="inlineStr">
        <is>
          <t>Se llena sola desde la hoja Tareas (filas 2 a 58). Si agregas tareas, copia las fórmulas hacia abajo.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100" customWidth="1" min="4" max="4"/>
    <col width="40" customWidth="1" min="5" max="5"/>
  </cols>
  <sheetData>
    <row r="1" ht="30" customHeight="1">
      <c r="A1" s="4" t="inlineStr">
        <is>
          <t>Fecha</t>
        </is>
      </c>
      <c r="B1" s="4" t="inlineStr">
        <is>
          <t>Commit</t>
        </is>
      </c>
      <c r="C1" s="4" t="inlineStr">
        <is>
          <t>Área</t>
        </is>
      </c>
      <c r="D1" s="4" t="inlineStr">
        <is>
          <t>Resumen</t>
        </is>
      </c>
      <c r="E1" s="4" t="inlineStr">
        <is>
          <t>Notas</t>
        </is>
      </c>
    </row>
    <row r="2">
      <c r="A2" s="5" t="inlineStr">
        <is>
          <t>2026-10-10</t>
        </is>
      </c>
      <c r="B2" s="5" t="inlineStr">
        <is>
          <t>37c36e2</t>
        </is>
      </c>
      <c r="C2" s="5" t="inlineStr">
        <is>
          <t>Docs</t>
        </is>
      </c>
      <c r="D2" s="5" t="inlineStr">
        <is>
          <t>docs: reconocimiento inicial y ajustes de plan (fase 0)</t>
        </is>
      </c>
      <c r="E2" s="5" t="inlineStr"/>
    </row>
    <row r="3">
      <c r="A3" s="5" t="inlineStr">
        <is>
          <t>2026-10-10</t>
        </is>
      </c>
      <c r="B3" s="5" t="inlineStr">
        <is>
          <t>444823b</t>
        </is>
      </c>
      <c r="C3" s="5" t="inlineStr">
        <is>
          <t>Docs</t>
        </is>
      </c>
      <c r="D3" s="5" t="inlineStr">
        <is>
          <t>fase 1 (parcial): endurece admin/CORS/logs, declara requests y documenta plan maestro</t>
        </is>
      </c>
      <c r="E3" s="5" t="inlineStr"/>
    </row>
    <row r="4">
      <c r="A4" s="5" t="inlineStr">
        <is>
          <t>2026-10-10</t>
        </is>
      </c>
      <c r="B4" s="5" t="inlineStr">
        <is>
          <t>b037403</t>
        </is>
      </c>
      <c r="C4" s="5" t="inlineStr">
        <is>
          <t>Código</t>
        </is>
      </c>
      <c r="D4" s="5" t="inlineStr">
        <is>
          <t>fase 1: borradores de registro de tratamiento y encargados; actualiza estado del plan</t>
        </is>
      </c>
      <c r="E4" s="5" t="inlineStr"/>
    </row>
    <row r="5">
      <c r="A5" s="5" t="inlineStr">
        <is>
          <t>2026-10-10</t>
        </is>
      </c>
      <c r="B5" s="5" t="inlineStr">
        <is>
          <t>88bcbcd</t>
        </is>
      </c>
      <c r="C5" s="5" t="inlineStr">
        <is>
          <t>Código</t>
        </is>
      </c>
      <c r="D5" s="5" t="inlineStr">
        <is>
          <t>fase 1: fotos de resenas a almacenamiento privado, EIPD borrador</t>
        </is>
      </c>
      <c r="E5" s="5" t="inlineStr"/>
    </row>
    <row r="6">
      <c r="A6" s="5" t="inlineStr">
        <is>
          <t>2026-10-10</t>
        </is>
      </c>
      <c r="B6" s="5" t="inlineStr">
        <is>
          <t>b16b5fb</t>
        </is>
      </c>
      <c r="C6" s="5" t="inlineStr">
        <is>
          <t>Seguridad</t>
        </is>
      </c>
      <c r="D6" s="5" t="inlineStr">
        <is>
          <t>docs: registra decisiones de producto sobre verificacion (nativa principal, via alternativa con MFA)</t>
        </is>
      </c>
      <c r="E6" s="5" t="inlineStr"/>
    </row>
    <row r="7">
      <c r="A7" s="5" t="inlineStr">
        <is>
          <t>2026-10-10</t>
        </is>
      </c>
      <c r="B7" s="5" t="inlineStr">
        <is>
          <t>b8100d3</t>
        </is>
      </c>
      <c r="C7" s="5" t="inlineStr">
        <is>
          <t>Código</t>
        </is>
      </c>
      <c r="D7" s="5" t="inlineStr">
        <is>
          <t>fase 2: consentimiento biometrico versionado (modelo, gating, revocacion, UI Django e Ionic)</t>
        </is>
      </c>
      <c r="E7" s="5" t="inlineStr"/>
    </row>
    <row r="8">
      <c r="A8" s="5" t="inlineStr">
        <is>
          <t>2026-10-10</t>
        </is>
      </c>
      <c r="B8" s="5" t="inlineStr">
        <is>
          <t>53216aa</t>
        </is>
      </c>
      <c r="C8" s="5" t="inlineStr">
        <is>
          <t>Código</t>
        </is>
      </c>
      <c r="D8" s="5" t="inlineStr">
        <is>
          <t>fase 2: cifra encoding_facial en reposo y agrega enforcement de identidad (apagado por defecto)</t>
        </is>
      </c>
      <c r="E8" s="5" t="inlineStr"/>
    </row>
    <row r="9">
      <c r="A9" s="5" t="inlineStr">
        <is>
          <t>2026-10-10</t>
        </is>
      </c>
      <c r="B9" s="5" t="inlineStr">
        <is>
          <t>7c4df38</t>
        </is>
      </c>
      <c r="C9" s="5" t="inlineStr">
        <is>
          <t>Seguridad</t>
        </is>
      </c>
      <c r="D9" s="5" t="inlineStr">
        <is>
          <t>fase 3: derechos del titular (mis-datos, eliminar-cuenta por anonimizacion) con UI en Ionic</t>
        </is>
      </c>
      <c r="E9" s="5" t="inlineStr"/>
    </row>
    <row r="10">
      <c r="A10" s="5" t="inlineStr">
        <is>
          <t>2026-10-10</t>
        </is>
      </c>
      <c r="B10" s="5" t="inlineStr">
        <is>
          <t>7b0cea7</t>
        </is>
      </c>
      <c r="C10" s="5" t="inlineStr">
        <is>
          <t>Código</t>
        </is>
      </c>
      <c r="D10" s="5" t="inlineStr">
        <is>
          <t>fase 3: retencion automatizable (purgar_datos_vencidos, mantenimiento_retencion; borra fotos de chats)</t>
        </is>
      </c>
      <c r="E10" s="5" t="inlineStr"/>
    </row>
    <row r="11">
      <c r="A11" s="5" t="inlineStr">
        <is>
          <t>2026-10-10</t>
        </is>
      </c>
      <c r="B11" s="5" t="inlineStr">
        <is>
          <t>a0f2526</t>
        </is>
      </c>
      <c r="C11" s="5" t="inlineStr">
        <is>
          <t>Docs</t>
        </is>
      </c>
      <c r="D11" s="5" t="inlineStr">
        <is>
          <t>fase 2: via alternativa de identidad sin biometria (advertencia + codigo por correo + documento revisado), API, admin e Ionic</t>
        </is>
      </c>
      <c r="E11" s="5" t="inlineStr"/>
    </row>
    <row r="12">
      <c r="A12" s="5" t="inlineStr">
        <is>
          <t>2026-10-11</t>
        </is>
      </c>
      <c r="B12" s="5" t="inlineStr">
        <is>
          <t>33741a0</t>
        </is>
      </c>
      <c r="C12" s="5" t="inlineStr">
        <is>
          <t>Docs</t>
        </is>
      </c>
      <c r="D12" s="5" t="inlineStr">
        <is>
          <t>docs: estado del proyecto y proximos pasos (retoma, demo de Render caido)</t>
        </is>
      </c>
      <c r="E12" s="5" t="inlineStr"/>
    </row>
    <row r="13">
      <c r="A13" s="5" t="inlineStr">
        <is>
          <t>2026-10-12</t>
        </is>
      </c>
      <c r="B13" s="5" t="inlineStr">
        <is>
          <t>c5c2ed3</t>
        </is>
      </c>
      <c r="C13" s="5" t="inlineStr">
        <is>
          <t>Docs</t>
        </is>
      </c>
      <c r="D13" s="5" t="inlineStr">
        <is>
          <t>docs: reordena la documentacion (indice, archivo historico, CLAUDE.md condensado)</t>
        </is>
      </c>
      <c r="E13" s="5" t="inlineStr"/>
    </row>
    <row r="14">
      <c r="A14" s="5" t="inlineStr">
        <is>
          <t>2026-10-12</t>
        </is>
      </c>
      <c r="B14" s="5" t="inlineStr">
        <is>
          <t>6183dd5</t>
        </is>
      </c>
      <c r="C14" s="5" t="inlineStr">
        <is>
          <t>Código</t>
        </is>
      </c>
      <c r="D14" s="5" t="inlineStr">
        <is>
          <t>render: la base de datos pasa a Neon (DATABASE_URL manual); actualiza estado del demo</t>
        </is>
      </c>
      <c r="E14" s="5" t="inlineStr"/>
    </row>
    <row r="15">
      <c r="A15" s="5" t="inlineStr">
        <is>
          <t>2026-10-12</t>
        </is>
      </c>
      <c r="B15" s="5" t="inlineStr">
        <is>
          <t>02bff77</t>
        </is>
      </c>
      <c r="C15" s="5" t="inlineStr">
        <is>
          <t>Docs</t>
        </is>
      </c>
      <c r="D15" s="5" t="inlineStr">
        <is>
          <t>docs: CLAUDE.md refleja el demo actual (Render + Neon, rama master)</t>
        </is>
      </c>
      <c r="E15" s="5" t="inlineStr"/>
    </row>
    <row r="16">
      <c r="A16" s="5" t="inlineStr">
        <is>
          <t>2026-10-12</t>
        </is>
      </c>
      <c r="B16" s="5" t="inlineStr">
        <is>
          <t>5db7152</t>
        </is>
      </c>
      <c r="C16" s="5" t="inlineStr">
        <is>
          <t>Código</t>
        </is>
      </c>
      <c r="D16" s="5" t="inlineStr">
        <is>
          <t>tests: settings_test (hasher MD5, solo con manage.py test) baja la suite de 12m48s a ~25s</t>
        </is>
      </c>
      <c r="E16" s="5" t="inlineStr"/>
    </row>
    <row r="17">
      <c r="A17" s="5" t="inlineStr">
        <is>
          <t>2026-10-12</t>
        </is>
      </c>
      <c r="B17" s="5" t="inlineStr">
        <is>
          <t>942872e</t>
        </is>
      </c>
      <c r="C17" s="5" t="inlineStr">
        <is>
          <t>Código</t>
        </is>
      </c>
      <c r="D17" s="5" t="inlineStr">
        <is>
          <t>fase 2/3: privacidad menciona el RUT (espanol neutro) + tests de rechazo de rostro distinto</t>
        </is>
      </c>
      <c r="E17" s="5" t="inlineStr"/>
    </row>
    <row r="18">
      <c r="A18" s="5" t="inlineStr">
        <is>
          <t>2026-10-12</t>
        </is>
      </c>
      <c r="B18" s="5" t="inlineStr">
        <is>
          <t>1faf689</t>
        </is>
      </c>
      <c r="C18" s="5" t="inlineStr">
        <is>
          <t>Seguridad</t>
        </is>
      </c>
      <c r="D18" s="5" t="inlineStr">
        <is>
          <t>fase 2/3: Moderador revisa verificacion sin biometria (con registro y aviso), retencion semanal, arregla CI</t>
        </is>
      </c>
      <c r="E18" s="5" t="inlineStr"/>
    </row>
    <row r="19">
      <c r="A19" s="5" t="inlineStr">
        <is>
          <t>2026-10-12</t>
        </is>
      </c>
      <c r="B19" s="5" t="inlineStr">
        <is>
          <t>4993e5b</t>
        </is>
      </c>
      <c r="C19" s="5" t="inlineStr">
        <is>
          <t>Seguridad</t>
        </is>
      </c>
      <c r="D19" s="5" t="inlineStr">
        <is>
          <t>fases 1-4: vigencia y auditoria de verificaciones, derechos del titular completos, ADRs y documentos de cumplimiento</t>
        </is>
      </c>
      <c r="E19" s="5" t="inlineStr"/>
    </row>
    <row r="20">
      <c r="A20" s="5" t="inlineStr">
        <is>
          <t>2026-10-12</t>
        </is>
      </c>
      <c r="B20" s="5" t="inlineStr">
        <is>
          <t>c99db06</t>
        </is>
      </c>
      <c r="C20" s="5" t="inlineStr">
        <is>
          <t>Código</t>
        </is>
      </c>
      <c r="D20" s="5" t="inlineStr">
        <is>
          <t>fase 5: asistente con IA (NVIDIA NIM) para preguntas frecuentes y busqueda en el catalogo</t>
        </is>
      </c>
      <c r="E20" s="5" t="inlineStr"/>
    </row>
    <row r="21">
      <c r="A21" s="5" t="inlineStr">
        <is>
          <t>2026-10-12</t>
        </is>
      </c>
      <c r="B21" s="5" t="inlineStr">
        <is>
          <t>fc37830</t>
        </is>
      </c>
      <c r="C21" s="5" t="inlineStr">
        <is>
          <t>Docs</t>
        </is>
      </c>
      <c r="D21" s="5" t="inlineStr">
        <is>
          <t>docs: estado actualizado tras la fase 5 (asistente con IA)</t>
        </is>
      </c>
      <c r="E21" s="5" t="inlineStr"/>
    </row>
    <row r="22">
      <c r="A22" s="5" t="inlineStr">
        <is>
          <t>2026-10-13</t>
        </is>
      </c>
      <c r="B22" s="5" t="inlineStr">
        <is>
          <t>735a9cd</t>
        </is>
      </c>
      <c r="C22" s="5" t="inlineStr">
        <is>
          <t>Código</t>
        </is>
      </c>
      <c r="D22" s="5" t="inlineStr">
        <is>
          <t>fase 7: carpeta de cumplimiento con matriz, resumen de mejoras, README renovado y E2E nuevos</t>
        </is>
      </c>
      <c r="E22" s="5" t="inlineStr"/>
    </row>
    <row r="23">
      <c r="A23" s="5" t="inlineStr">
        <is>
          <t>2026-10-13</t>
        </is>
      </c>
      <c r="B23" s="5" t="inlineStr">
        <is>
          <t>ed0fa30</t>
        </is>
      </c>
      <c r="C23" s="5" t="inlineStr">
        <is>
          <t>Docs</t>
        </is>
      </c>
      <c r="D23" s="5" t="inlineStr">
        <is>
          <t>docs: estado actualizado tras la fase 7 (solo queda la fase 6)</t>
        </is>
      </c>
      <c r="E23" s="5" t="inlineStr"/>
    </row>
    <row r="24">
      <c r="A24" s="5" t="inlineStr">
        <is>
          <t>2026-10-13</t>
        </is>
      </c>
      <c r="B24" s="5" t="inlineStr">
        <is>
          <t>1a2754f</t>
        </is>
      </c>
      <c r="C24" s="5" t="inlineStr">
        <is>
          <t>Código</t>
        </is>
      </c>
      <c r="D24" s="5" t="inlineStr">
        <is>
          <t>netlify: quita el comando ignore que cancelaba todos los builds del frontend</t>
        </is>
      </c>
      <c r="E24" s="5" t="inlineStr"/>
    </row>
    <row r="25">
      <c r="A25" s="5" t="inlineStr">
        <is>
          <t>2026-10-13</t>
        </is>
      </c>
      <c r="B25" s="5" t="inlineStr">
        <is>
          <t>ad75ea7</t>
        </is>
      </c>
      <c r="C25" s="5" t="inlineStr">
        <is>
          <t>Seguridad</t>
        </is>
      </c>
      <c r="D25" s="5" t="inlineStr">
        <is>
          <t>fase 6 (tanda 1): base del rediseno "Confianza calida", inicio en bento grid, detalle con ficha y verificacion unificada</t>
        </is>
      </c>
      <c r="E25" s="5" t="inlineStr"/>
    </row>
    <row r="26">
      <c r="A26" s="5" t="inlineStr">
        <is>
          <t>2026-10-13</t>
        </is>
      </c>
      <c r="B26" s="5" t="inlineStr">
        <is>
          <t>1a7aad7</t>
        </is>
      </c>
      <c r="C26" s="5" t="inlineStr">
        <is>
          <t>Seguridad</t>
        </is>
      </c>
      <c r="D26" s="5" t="inlineStr">
        <is>
          <t>fase 6 (tanda 2): acceso en dos paneles, mensajes y publicar con columna lateral, perfil con atajos, animacion de verificacion y copy veraz</t>
        </is>
      </c>
      <c r="E26" s="5" t="inlineStr"/>
    </row>
    <row r="27">
      <c r="A27" s="5" t="inlineStr">
        <is>
          <t>2026-10-13</t>
        </is>
      </c>
      <c r="B27" s="5" t="inlineStr">
        <is>
          <t>d3684c2</t>
        </is>
      </c>
      <c r="C27" s="5" t="inlineStr">
        <is>
          <t>Código</t>
        </is>
      </c>
      <c r="D27" s="5" t="inlineStr">
        <is>
          <t>chore: saca del repo los scripts temporales de capturas (quedan ignorados)</t>
        </is>
      </c>
      <c r="E27" s="5" t="inlineStr"/>
    </row>
    <row r="28">
      <c r="A28" s="5" t="inlineStr">
        <is>
          <t>2026-10-13</t>
        </is>
      </c>
      <c r="B28" s="5" t="inlineStr">
        <is>
          <t>dca1c5d</t>
        </is>
      </c>
      <c r="C28" s="5" t="inlineStr">
        <is>
          <t>Docs</t>
        </is>
      </c>
      <c r="D28" s="5" t="inlineStr">
        <is>
          <t>fase 6 (cierre): estado de trabajos en movil, imagenes rotas sin huecos, docs de la fase y capturas en el README</t>
        </is>
      </c>
      <c r="E28" s="5" t="inlineStr"/>
    </row>
    <row r="29">
      <c r="A29" s="5" t="inlineStr">
        <is>
          <t>2026-10-13</t>
        </is>
      </c>
      <c r="B29" s="5" t="inlineStr">
        <is>
          <t>da7ce8b</t>
        </is>
      </c>
      <c r="C29" s="5" t="inlineStr">
        <is>
          <t>Código</t>
        </is>
      </c>
      <c r="D29" s="5" t="inlineStr">
        <is>
          <t>fase 6 (estilo 2026): header a todo el ancho con menu a la derecha, inicio inmersivo y banners con imagen de fondo</t>
        </is>
      </c>
      <c r="E29" s="5" t="inlineStr"/>
    </row>
    <row r="30">
      <c r="A30" s="5" t="inlineStr">
        <is>
          <t>2026-10-13</t>
        </is>
      </c>
      <c r="B30" s="5" t="inlineStr">
        <is>
          <t>91996a5</t>
        </is>
      </c>
      <c r="C30" s="5" t="inlineStr">
        <is>
          <t>Código</t>
        </is>
      </c>
      <c r="D30" s="5" t="inlineStr">
        <is>
          <t>demo: fotos CC0 por oficio, 24 proveedores de prueba marcados como DEMO e inicio con fotos de fondo</t>
        </is>
      </c>
      <c r="E30" s="5" t="inlineStr"/>
    </row>
    <row r="31">
      <c r="A31" s="5" t="inlineStr">
        <is>
          <t>2026-10-13</t>
        </is>
      </c>
      <c r="B31" s="5" t="inlineStr">
        <is>
          <t>aa1ed62</t>
        </is>
      </c>
      <c r="C31" s="5" t="inlineStr">
        <is>
          <t>Docs</t>
        </is>
      </c>
      <c r="D31" s="5" t="inlineStr">
        <is>
          <t>docs: captura del inicio con fotos (del demo en vivo) para el README</t>
        </is>
      </c>
      <c r="E31" s="5" t="inlineStr"/>
    </row>
    <row r="32">
      <c r="A32" s="5" t="inlineStr">
        <is>
          <t>2026-10-13</t>
        </is>
      </c>
      <c r="B32" s="5" t="inlineStr">
        <is>
          <t>edb3df4</t>
        </is>
      </c>
      <c r="C32" s="5" t="inlineStr">
        <is>
          <t>Diseño</t>
        </is>
      </c>
      <c r="D32" s="5" t="inlineStr">
        <is>
          <t>Rediseño pulido: tarjetas y listas con paginador, portada con Acerca y Contacto, vista previa al publicar</t>
        </is>
      </c>
      <c r="E32" s="5" t="inlineStr"/>
    </row>
    <row r="33">
      <c r="A33" s="5" t="inlineStr">
        <is>
          <t>2026-10-13</t>
        </is>
      </c>
      <c r="B33" s="5" t="inlineStr">
        <is>
          <t>ec79a0c</t>
        </is>
      </c>
      <c r="C33" s="5" t="inlineStr">
        <is>
          <t>Código</t>
        </is>
      </c>
      <c r="D33" s="5" t="inlineStr">
        <is>
          <t>ci: quitar api-ionic-migration del disparador de tests; el despliegue es solo desde master</t>
        </is>
      </c>
      <c r="E33" s="5" t="inlineStr"/>
    </row>
    <row r="34">
      <c r="A34" s="5" t="inlineStr">
        <is>
          <t>2026-10-13</t>
        </is>
      </c>
      <c r="B34" s="5" t="inlineStr">
        <is>
          <t>55a1196</t>
        </is>
      </c>
      <c r="C34" s="5" t="inlineStr">
        <is>
          <t>Código</t>
        </is>
      </c>
      <c r="D34" s="5" t="inlineStr">
        <is>
          <t>render: redeploy desde master para crear el environment en GitHub</t>
        </is>
      </c>
      <c r="E34" s="5" t="inlineStr"/>
    </row>
    <row r="35">
      <c r="A35" s="5" t="inlineStr">
        <is>
          <t>2026-10-13</t>
        </is>
      </c>
      <c r="B35" s="5" t="inlineStr">
        <is>
          <t>a9559c2</t>
        </is>
      </c>
      <c r="C35" s="5" t="inlineStr">
        <is>
          <t>Docs</t>
        </is>
      </c>
      <c r="D35" s="5" t="inlineStr">
        <is>
          <t>docs: estado al día (fases 5-7, NVIDIA_API_KEY y DATABASE_URL cargados, despliegues en master)</t>
        </is>
      </c>
      <c r="E35" s="5" t="inlineStr"/>
    </row>
    <row r="36">
      <c r="A36" s="5" t="inlineStr">
        <is>
          <t>2026-10-13</t>
        </is>
      </c>
      <c r="B36" s="5" t="inlineStr">
        <is>
          <t>68519f6</t>
        </is>
      </c>
      <c r="C36" s="5" t="inlineStr">
        <is>
          <t>Seguridad</t>
        </is>
      </c>
      <c r="D36" s="5" t="inlineStr">
        <is>
          <t>seguridad: quitar claves admin/moderador del repo (DEMO_STAFF_PASSWORD) y hero con foto de oficios</t>
        </is>
      </c>
      <c r="E36" s="5" t="inlineStr"/>
    </row>
    <row r="37">
      <c r="A37" s="5" t="inlineStr">
        <is>
          <t>2026-10-13</t>
        </is>
      </c>
      <c r="B37" s="5" t="inlineStr">
        <is>
          <t>d20e488</t>
        </is>
      </c>
      <c r="C37" s="5" t="inlineStr">
        <is>
          <t>Docs</t>
        </is>
      </c>
      <c r="D37" s="5" t="inlineStr">
        <is>
          <t>docs: capturas nuevas del demo en vivo en el README (inicio con hero de oficios, catálogo, asistente)</t>
        </is>
      </c>
      <c r="E37" s="5" t="inlineStr"/>
    </row>
    <row r="38">
      <c r="A38" s="5" t="inlineStr">
        <is>
          <t>2026-10-13</t>
        </is>
      </c>
      <c r="B38" s="5" t="inlineStr">
        <is>
          <t>94bc174</t>
        </is>
      </c>
      <c r="C38" s="5" t="inlineStr">
        <is>
          <t>Código</t>
        </is>
      </c>
      <c r="D38" s="5" t="inlineStr">
        <is>
          <t>demo: fotos propias para Fotografía, Mecánica y Contabilidad; estado al día</t>
        </is>
      </c>
      <c r="E38" s="5" t="inlineStr"/>
    </row>
    <row r="39">
      <c r="A39" s="5" t="inlineStr">
        <is>
          <t>2026-10-13</t>
        </is>
      </c>
      <c r="B39" s="5" t="inlineStr">
        <is>
          <t>f075ac9</t>
        </is>
      </c>
      <c r="C39" s="5" t="inlineStr">
        <is>
          <t>Diseño</t>
        </is>
      </c>
      <c r="D39" s="5" t="inlineStr">
        <is>
          <t>auditoria completa: registro, privacidad, 404, SEO y rediseño de pantallas</t>
        </is>
      </c>
      <c r="E39" s="5" t="inlineStr"/>
    </row>
    <row r="40">
      <c r="A40" s="5" t="inlineStr">
        <is>
          <t>2026-10-13</t>
        </is>
      </c>
      <c r="B40" s="5" t="inlineStr">
        <is>
          <t>f498e9b</t>
        </is>
      </c>
      <c r="C40" s="5" t="inlineStr">
        <is>
          <t>Diseño</t>
        </is>
      </c>
      <c r="D40" s="5" t="inlineStr">
        <is>
          <t>mapa de contacto sin espacio vacío y CLAUDE.md con el registro de la sesión</t>
        </is>
      </c>
      <c r="E40" s="5" t="inlineStr"/>
    </row>
    <row r="41">
      <c r="A41" s="5" t="inlineStr">
        <is>
          <t>2026-10-13</t>
        </is>
      </c>
      <c r="B41" s="5" t="inlineStr">
        <is>
          <t>fed1022</t>
        </is>
      </c>
      <c r="C41" s="5" t="inlineStr">
        <is>
          <t>Diseño</t>
        </is>
      </c>
      <c r="D41" s="5" t="inlineStr">
        <is>
          <t>rediseño de contacto y de "Para proveedores" en la portada</t>
        </is>
      </c>
      <c r="E41" s="5" t="inlineStr"/>
    </row>
    <row r="42">
      <c r="A42" s="5" t="inlineStr">
        <is>
          <t>2026-10-13</t>
        </is>
      </c>
      <c r="B42" s="5" t="inlineStr">
        <is>
          <t>8204bc4</t>
        </is>
      </c>
      <c r="C42" s="5" t="inlineStr">
        <is>
          <t>Docs</t>
        </is>
      </c>
      <c r="D42" s="5" t="inlineStr">
        <is>
          <t>cierre de las fases: respuesta_bruta mínima, accesibilidad, probar_correo y docs al día</t>
        </is>
      </c>
      <c r="E42" s="5" t="inlineStr"/>
    </row>
    <row r="43">
      <c r="A43" s="5" t="inlineStr">
        <is>
          <t>2026-10-15</t>
        </is>
      </c>
      <c r="B43" s="5" t="inlineStr">
        <is>
          <t>ec75c86</t>
        </is>
      </c>
      <c r="C43" s="5" t="inlineStr">
        <is>
          <t>Código</t>
        </is>
      </c>
      <c r="D43" s="5" t="inlineStr">
        <is>
          <t>Corrige los hallazgos de la revisión externa del 2026-10-15</t>
        </is>
      </c>
      <c r="E43" s="5" t="inlineStr"/>
    </row>
    <row r="44">
      <c r="A44" s="5" t="inlineStr">
        <is>
          <t>2026-10-15</t>
        </is>
      </c>
      <c r="B44" s="5" t="inlineStr">
        <is>
          <t>704cff2</t>
        </is>
      </c>
      <c r="C44" s="5" t="inlineStr">
        <is>
          <t>Docs</t>
        </is>
      </c>
      <c r="D44" s="5" t="inlineStr">
        <is>
          <t>Documenta ADR 0006, ADR 0007 y el plan del flujo de dinero</t>
        </is>
      </c>
      <c r="E44" s="5" t="inlineStr"/>
    </row>
    <row r="45">
      <c r="A45" s="5" t="inlineStr">
        <is>
          <t>2026-10-15</t>
        </is>
      </c>
      <c r="B45" s="5" t="inlineStr">
        <is>
          <t>35432b4</t>
        </is>
      </c>
      <c r="C45" s="5" t="inlineStr">
        <is>
          <t>Seguridad</t>
        </is>
      </c>
      <c r="D45" s="5" t="inlineStr">
        <is>
          <t>Invalida los access tokens al cambiar la clave o eliminar la cuenta</t>
        </is>
      </c>
      <c r="E45" s="5" t="inlineStr"/>
    </row>
    <row r="46">
      <c r="A46" s="5" t="inlineStr">
        <is>
          <t>2026-10-15</t>
        </is>
      </c>
      <c r="B46" s="5" t="inlineStr">
        <is>
          <t>fcb392a</t>
        </is>
      </c>
      <c r="C46" s="5" t="inlineStr">
        <is>
          <t>Pagos</t>
        </is>
      </c>
      <c r="D46" s="5" t="inlineStr">
        <is>
          <t>Agrega Flow y Mercado Pago como medios de pago</t>
        </is>
      </c>
      <c r="E46" s="5" t="inlineStr"/>
    </row>
    <row r="47">
      <c r="A47" s="5" t="inlineStr">
        <is>
          <t>2026-10-16</t>
        </is>
      </c>
      <c r="B47" s="5" t="inlineStr">
        <is>
          <t>4ed007b</t>
        </is>
      </c>
      <c r="C47" s="5" t="inlineStr">
        <is>
          <t>Código</t>
        </is>
      </c>
      <c r="D47" s="5" t="inlineStr">
        <is>
          <t>Agrega cerrar sesión en todos los dispositivos con código por correo</t>
        </is>
      </c>
      <c r="E47" s="5" t="inlineStr"/>
    </row>
    <row r="48">
      <c r="A48" s="5" t="inlineStr">
        <is>
          <t>2026-10-16</t>
        </is>
      </c>
      <c r="B48" s="5" t="inlineStr">
        <is>
          <t>c687bee</t>
        </is>
      </c>
      <c r="C48" s="5" t="inlineStr">
        <is>
          <t>Pagos</t>
        </is>
      </c>
      <c r="D48" s="5" t="inlineStr">
        <is>
          <t>Agrega comisión por tramos, verificación con video y tablero de seguimiento</t>
        </is>
      </c>
      <c r="E48" s="5" t="inlineStr"/>
    </row>
    <row r="49">
      <c r="A49" s="5" t="inlineStr">
        <is>
          <t>2026-10-23</t>
        </is>
      </c>
      <c r="B49" s="5" t="inlineStr">
        <is>
          <t>e20bfac</t>
        </is>
      </c>
      <c r="C49" s="5" t="inlineStr">
        <is>
          <t>Código</t>
        </is>
      </c>
      <c r="D49" s="5" t="inlineStr">
        <is>
          <t>Agrega medición de impacto: preguntas voluntarias, tipo de servicio y reporte agregado</t>
        </is>
      </c>
      <c r="E49" s="5" t="inlineStr">
        <is>
          <t>Bloque 1 (T-054)</t>
        </is>
      </c>
    </row>
    <row r="50">
      <c r="A50" s="5" t="inlineStr">
        <is>
          <t>2026-10-23</t>
        </is>
      </c>
      <c r="B50" s="5" t="inlineStr">
        <is>
          <t>b525d74</t>
        </is>
      </c>
      <c r="C50" s="5" t="inlineStr">
        <is>
          <t>Código</t>
        </is>
      </c>
      <c r="D50" s="5" t="inlineStr">
        <is>
          <t>Agrega la calculadora gratuita de valorización con boleta de honorarios</t>
        </is>
      </c>
      <c r="E50" s="5" t="inlineStr">
        <is>
          <t>Bloque 2 (T-055)</t>
        </is>
      </c>
    </row>
    <row r="51">
      <c r="A51" s="5" t="inlineStr">
        <is>
          <t>2026-10-23</t>
        </is>
      </c>
      <c r="B51" s="5" t="inlineStr">
        <is>
          <t>32e5bea</t>
        </is>
      </c>
      <c r="C51" s="5" t="inlineStr">
        <is>
          <t>Código</t>
        </is>
      </c>
      <c r="D51" s="5" t="inlineStr">
        <is>
          <t>Agrega el registro del folio de la boleta de honorarios (fase 1, sin SII)</t>
        </is>
      </c>
      <c r="E51" s="5" t="inlineStr">
        <is>
          <t>Bloque 3 (T-056)</t>
        </is>
      </c>
    </row>
    <row r="52">
      <c r="A52" s="5" t="inlineStr">
        <is>
          <t>2026-10-23</t>
        </is>
      </c>
      <c r="B52" s="5" t="inlineStr">
        <is>
          <t>611ed94</t>
        </is>
      </c>
      <c r="C52" s="5" t="inlineStr">
        <is>
          <t>Código</t>
        </is>
      </c>
      <c r="D52" s="5" t="inlineStr">
        <is>
          <t>Destaca la vía sin historial (cédula y video) y corrige el aviso de fotos del rostro</t>
        </is>
      </c>
      <c r="E52" s="5" t="inlineStr">
        <is>
          <t>Bloque 4 (T-057)</t>
        </is>
      </c>
    </row>
  </sheetData>
  <autoFilter ref="A1:E4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00" customWidth="1" min="3" max="3"/>
    <col width="18" customWidth="1" min="4" max="4"/>
    <col width="12" customWidth="1" min="5" max="5"/>
    <col width="28" customWidth="1" min="6" max="6"/>
  </cols>
  <sheetData>
    <row r="1" ht="30" customHeight="1">
      <c r="A1" s="4" t="inlineStr">
        <is>
          <t>ID</t>
        </is>
      </c>
      <c r="B1" s="4" t="inlineStr">
        <is>
          <t>Fecha</t>
        </is>
      </c>
      <c r="C1" s="4" t="inlineStr">
        <is>
          <t>Decisión</t>
        </is>
      </c>
      <c r="D1" s="4" t="inlineStr">
        <is>
          <t>Quién</t>
        </is>
      </c>
      <c r="E1" s="4" t="inlineStr">
        <is>
          <t>Estado</t>
        </is>
      </c>
      <c r="F1" s="4" t="inlineStr">
        <is>
          <t>Referencia</t>
        </is>
      </c>
    </row>
    <row r="2">
      <c r="A2" s="5" t="inlineStr">
        <is>
          <t>D-001</t>
        </is>
      </c>
      <c r="B2" s="5" t="inlineStr">
        <is>
          <t>2026-10-11</t>
        </is>
      </c>
      <c r="C2" s="5" t="inlineStr">
        <is>
          <t>Biometría nativa como vía principal; rostro en servidor como secundaria; vía sin biometría como respaldo</t>
        </is>
      </c>
      <c r="D2" s="5" t="inlineStr">
        <is>
          <t>Dueño</t>
        </is>
      </c>
      <c r="E2" s="5" t="inlineStr">
        <is>
          <t>Aprobada</t>
        </is>
      </c>
      <c r="F2" s="5" t="inlineStr">
        <is>
          <t>docs/adr/0001</t>
        </is>
      </c>
    </row>
    <row r="3">
      <c r="A3" s="5" t="inlineStr">
        <is>
          <t>D-002</t>
        </is>
      </c>
      <c r="B3" s="5" t="inlineStr">
        <is>
          <t>2026-10-12</t>
        </is>
      </c>
      <c r="C3" s="5" t="inlineStr">
        <is>
          <t>El Moderador puede aprobar la verificación sin biometría (queda quién y cuándo)</t>
        </is>
      </c>
      <c r="D3" s="5" t="inlineStr">
        <is>
          <t>Dueño</t>
        </is>
      </c>
      <c r="E3" s="5" t="inlineStr">
        <is>
          <t>Aprobada</t>
        </is>
      </c>
      <c r="F3" s="5" t="inlineStr">
        <is>
          <t>plan-ajustes.md</t>
        </is>
      </c>
    </row>
    <row r="4">
      <c r="A4" s="5" t="inlineStr">
        <is>
          <t>D-003</t>
        </is>
      </c>
      <c r="B4" s="5" t="inlineStr">
        <is>
          <t>2026-10-12</t>
        </is>
      </c>
      <c r="C4" s="5" t="inlineStr">
        <is>
          <t>Commits en español, trabajo directo en master, tags en los hitos</t>
        </is>
      </c>
      <c r="D4" s="5" t="inlineStr">
        <is>
          <t>Dueño</t>
        </is>
      </c>
      <c r="E4" s="5" t="inlineStr">
        <is>
          <t>Aprobada</t>
        </is>
      </c>
      <c r="F4" s="5" t="inlineStr">
        <is>
          <t>plan-ajustes.md</t>
        </is>
      </c>
    </row>
    <row r="5">
      <c r="A5" s="5" t="inlineStr">
        <is>
          <t>D-004</t>
        </is>
      </c>
      <c r="B5" s="5" t="inlineStr">
        <is>
          <t>2026-10-12</t>
        </is>
      </c>
      <c r="C5" s="5" t="inlineStr">
        <is>
          <t>Vector facial cifrado en reposo; verificación vigente 180 días</t>
        </is>
      </c>
      <c r="D5" s="5" t="inlineStr">
        <is>
          <t>Dueño</t>
        </is>
      </c>
      <c r="E5" s="5" t="inlineStr">
        <is>
          <t>Aprobada</t>
        </is>
      </c>
      <c r="F5" s="5" t="inlineStr">
        <is>
          <t>docs/adr/0002, 0003</t>
        </is>
      </c>
    </row>
    <row r="6">
      <c r="A6" s="5" t="inlineStr">
        <is>
          <t>D-005</t>
        </is>
      </c>
      <c r="B6" s="5" t="inlineStr">
        <is>
          <t>2026-10-13</t>
        </is>
      </c>
      <c r="C6" s="5" t="inlineStr">
        <is>
          <t>Postula a Corfo como persona natural; ingresos por comisión sobre cada servicio pagado</t>
        </is>
      </c>
      <c r="D6" s="5" t="inlineStr">
        <is>
          <t>Dueño</t>
        </is>
      </c>
      <c r="E6" s="5" t="inlineStr">
        <is>
          <t>Aprobada</t>
        </is>
      </c>
      <c r="F6" s="5" t="inlineStr">
        <is>
          <t>ESTADO_Y_PROXIMOS_PASOS.md</t>
        </is>
      </c>
    </row>
    <row r="7">
      <c r="A7" s="5" t="inlineStr">
        <is>
          <t>D-006</t>
        </is>
      </c>
      <c r="B7" s="5" t="inlineStr">
        <is>
          <t>2026-10-15</t>
        </is>
      </c>
      <c r="C7" s="5" t="inlineStr">
        <is>
          <t>Eliminar la cuenta bloquea y espera 15 días antes de anonimizar (por quejas o problemas entre las partes)</t>
        </is>
      </c>
      <c r="D7" s="5" t="inlineStr">
        <is>
          <t>Dueño</t>
        </is>
      </c>
      <c r="E7" s="5" t="inlineStr">
        <is>
          <t>Aprobada</t>
        </is>
      </c>
      <c r="F7" s="5" t="inlineStr">
        <is>
          <t>docs/adr/0007</t>
        </is>
      </c>
    </row>
    <row r="8">
      <c r="A8" s="5" t="inlineStr">
        <is>
          <t>D-007</t>
        </is>
      </c>
      <c r="B8" s="5" t="inlineStr">
        <is>
          <t>2026-10-15</t>
        </is>
      </c>
      <c r="C8" s="5" t="inlineStr">
        <is>
          <t>Las solicitudes sin respuesta expiran (7 días, ajustable) y se avisa por correo a ambas partes</t>
        </is>
      </c>
      <c r="D8" s="5" t="inlineStr">
        <is>
          <t>Dueño</t>
        </is>
      </c>
      <c r="E8" s="5" t="inlineStr">
        <is>
          <t>Aprobada</t>
        </is>
      </c>
      <c r="F8" s="5" t="inlineStr">
        <is>
          <t>docs/adr/0007</t>
        </is>
      </c>
    </row>
    <row r="9">
      <c r="A9" s="5" t="inlineStr">
        <is>
          <t>D-008</t>
        </is>
      </c>
      <c r="B9" s="5" t="inlineStr">
        <is>
          <t>2026-10-15</t>
        </is>
      </c>
      <c r="C9" s="5" t="inlineStr">
        <is>
          <t>Verificación nativa solo reconfirma a quien ya tiene documento aprobado (opción c)</t>
        </is>
      </c>
      <c r="D9" s="5" t="inlineStr">
        <is>
          <t>Dueño</t>
        </is>
      </c>
      <c r="E9" s="5" t="inlineStr">
        <is>
          <t>Aprobada</t>
        </is>
      </c>
      <c r="F9" s="5" t="inlineStr">
        <is>
          <t>docs/adr/0006</t>
        </is>
      </c>
    </row>
    <row r="10">
      <c r="A10" s="5" t="inlineStr">
        <is>
          <t>D-009</t>
        </is>
      </c>
      <c r="B10" s="5" t="inlineStr">
        <is>
          <t>2026-10-15</t>
        </is>
      </c>
      <c r="C10" s="5" t="inlineStr">
        <is>
          <t>Cerrar sesión en todos los dispositivos exige un código enviado al correo</t>
        </is>
      </c>
      <c r="D10" s="5" t="inlineStr">
        <is>
          <t>Dueño</t>
        </is>
      </c>
      <c r="E10" s="5" t="inlineStr">
        <is>
          <t>Aprobada</t>
        </is>
      </c>
      <c r="F10" s="5" t="inlineStr">
        <is>
          <t>ESTADO_Y_PROXIMOS_PASOS.md</t>
        </is>
      </c>
    </row>
    <row r="11">
      <c r="A11" s="5" t="inlineStr">
        <is>
          <t>D-010</t>
        </is>
      </c>
      <c r="B11" s="5" t="inlineStr">
        <is>
          <t>2026-10-16</t>
        </is>
      </c>
      <c r="C11" s="5" t="inlineStr">
        <is>
          <t>Comisión por tramos que paga el cliente encima del precio; valores por defecto 6/5/4,5/4 % con mínimo $1.000 (los de 5/4/3,5/3 % pierden plata con tarjeta)</t>
        </is>
      </c>
      <c r="D11" s="5" t="inlineStr">
        <is>
          <t>Claude (propuesta)</t>
        </is>
      </c>
      <c r="E11" s="5" t="inlineStr">
        <is>
          <t>Propuesta</t>
        </is>
      </c>
      <c r="F11" s="5" t="inlineStr">
        <is>
          <t>ANALISIS_COMISION.md</t>
        </is>
      </c>
    </row>
    <row r="12">
      <c r="A12" s="5" t="inlineStr">
        <is>
          <t>D-011</t>
        </is>
      </c>
      <c r="B12" s="5" t="inlineStr">
        <is>
          <t>2026-10-16</t>
        </is>
      </c>
      <c r="C12" s="5" t="inlineStr">
        <is>
          <t>Verificación sin biometría con video corto + cédula revisados por un moderador; el video se borra al resolver (30 días si nadie lo resuelve)</t>
        </is>
      </c>
      <c r="D12" s="5" t="inlineStr">
        <is>
          <t>Dueño / Claude</t>
        </is>
      </c>
      <c r="E12" s="5" t="inlineStr">
        <is>
          <t>Aprobada</t>
        </is>
      </c>
      <c r="F12" s="5" t="inlineStr">
        <is>
          <t>docs/adr/0006</t>
        </is>
      </c>
    </row>
    <row r="13">
      <c r="A13" s="5" t="inlineStr">
        <is>
          <t>D-012</t>
        </is>
      </c>
      <c r="B13" s="5" t="inlineStr">
        <is>
          <t>2026-10-16</t>
        </is>
      </c>
      <c r="C13" s="5" t="inlineStr">
        <is>
          <t>Flow y Mercado Pago como medios de pago adicionales (sandbox gratis); Khipu sigue sin sandbox</t>
        </is>
      </c>
      <c r="D13" s="5" t="inlineStr">
        <is>
          <t>Dueño</t>
        </is>
      </c>
      <c r="E13" s="5" t="inlineStr">
        <is>
          <t>Aprobada</t>
        </is>
      </c>
      <c r="F13" s="5" t="inlineStr">
        <is>
          <t>ESTADO_Y_PROXIMOS_PASOS.md</t>
        </is>
      </c>
    </row>
    <row r="14">
      <c r="A14" s="5" t="inlineStr">
        <is>
          <t>D-013</t>
        </is>
      </c>
      <c r="B14" s="5" t="inlineStr"/>
      <c r="C14" s="5" t="inlineStr">
        <is>
          <t>Qué evidencia se conserva para la policía y por cuánto tiempo</t>
        </is>
      </c>
      <c r="D14" s="5" t="inlineStr">
        <is>
          <t>Dueño + abogado</t>
        </is>
      </c>
      <c r="E14" s="5" t="inlineStr">
        <is>
          <t>Pendiente</t>
        </is>
      </c>
      <c r="F14" s="5" t="inlineStr">
        <is>
          <t>docs/adr/0007</t>
        </is>
      </c>
    </row>
    <row r="15">
      <c r="A15" s="5" t="inlineStr">
        <is>
          <t>D-014</t>
        </is>
      </c>
      <c r="B15" s="5" t="inlineStr"/>
      <c r="C15" s="5" t="inlineStr">
        <is>
          <t>Opción de prueba real del dispositivo para la verificación nativa (a, a-lite, b)</t>
        </is>
      </c>
      <c r="D15" s="5" t="inlineStr">
        <is>
          <t>Dueño</t>
        </is>
      </c>
      <c r="E15" s="5" t="inlineStr">
        <is>
          <t>Pendiente</t>
        </is>
      </c>
      <c r="F15" s="5" t="inlineStr">
        <is>
          <t>docs/adr/0006</t>
        </is>
      </c>
    </row>
    <row r="16">
      <c r="A16" s="5" t="inlineStr">
        <is>
          <t>D-015</t>
        </is>
      </c>
      <c r="B16" s="5" t="inlineStr"/>
      <c r="C16" s="5" t="inlineStr">
        <is>
          <t>Recaudar y transferir, Webpay Mall o split de pagos</t>
        </is>
      </c>
      <c r="D16" s="5" t="inlineStr">
        <is>
          <t>Dueño + abogado</t>
        </is>
      </c>
      <c r="E16" s="5" t="inlineStr">
        <is>
          <t>Pendiente</t>
        </is>
      </c>
      <c r="F16" s="5" t="inlineStr">
        <is>
          <t>PLAN_FLUJO_DE_DINERO.md</t>
        </is>
      </c>
    </row>
    <row r="17">
      <c r="A17" s="5" t="inlineStr">
        <is>
          <t>D-016</t>
        </is>
      </c>
      <c r="B17" s="5" t="inlineStr">
        <is>
          <t>2026-10-23</t>
        </is>
      </c>
      <c r="C17" s="5" t="inlineStr">
        <is>
          <t>Encuadre de la postulación: inclusión laboral y formalización, no antifraude</t>
        </is>
      </c>
      <c r="D17" s="5" t="inlineStr">
        <is>
          <t>Dueño</t>
        </is>
      </c>
      <c r="E17" s="5" t="inlineStr">
        <is>
          <t>Aprobada</t>
        </is>
      </c>
      <c r="F17" s="5" t="inlineStr">
        <is>
          <t>docs/corfo/RESUMEN_PARA_PLANIFICACION.md</t>
        </is>
      </c>
    </row>
    <row r="18">
      <c r="A18" s="5" t="inlineStr">
        <is>
          <t>D-017</t>
        </is>
      </c>
      <c r="B18" s="5" t="inlineStr">
        <is>
          <t>2026-10-23</t>
        </is>
      </c>
      <c r="C18" s="5" t="inlineStr">
        <is>
          <t>Economía circular = reparar y mantener en vez de reemplazar; el ingreso que queda en la comuna se reporta aparte como "economía local"</t>
        </is>
      </c>
      <c r="D18" s="5" t="inlineStr">
        <is>
          <t>Dueño</t>
        </is>
      </c>
      <c r="E18" s="5" t="inlineStr">
        <is>
          <t>Aprobada</t>
        </is>
      </c>
      <c r="F18" s="5" t="inlineStr">
        <is>
          <t>docs/corfo/RESUMEN_PARA_PLANIFICACION.md</t>
        </is>
      </c>
    </row>
    <row r="19">
      <c r="A19" s="5" t="inlineStr">
        <is>
          <t>D-018</t>
        </is>
      </c>
      <c r="B19" s="5" t="inlineStr">
        <is>
          <t>2026-10-23</t>
        </is>
      </c>
      <c r="C19" s="5" t="inlineStr">
        <is>
          <t>Calculadora de valorización gratuita y abierta sin cuenta</t>
        </is>
      </c>
      <c r="D19" s="5" t="inlineStr">
        <is>
          <t>Dueño</t>
        </is>
      </c>
      <c r="E19" s="5" t="inlineStr">
        <is>
          <t>Aprobada</t>
        </is>
      </c>
      <c r="F19" s="5" t="inlineStr">
        <is>
          <t>Bloque 2</t>
        </is>
      </c>
    </row>
    <row r="20">
      <c r="A20" s="5" t="inlineStr">
        <is>
          <t>D-019</t>
        </is>
      </c>
      <c r="B20" s="5" t="inlineStr">
        <is>
          <t>2026-10-23</t>
        </is>
      </c>
      <c r="C20" s="5" t="inlineStr">
        <is>
          <t>Boleta fase 1: el proveedor emite en sii.cl y KeyServ registra el folio; integración directa con el SII queda para después</t>
        </is>
      </c>
      <c r="D20" s="5" t="inlineStr">
        <is>
          <t>Dueño</t>
        </is>
      </c>
      <c r="E20" s="5" t="inlineStr">
        <is>
          <t>Aprobada</t>
        </is>
      </c>
      <c r="F20" s="5" t="inlineStr">
        <is>
          <t>Bloque 3</t>
        </is>
      </c>
    </row>
    <row r="21">
      <c r="A21" s="5" t="inlineStr">
        <is>
          <t>D-020</t>
        </is>
      </c>
      <c r="B21" s="5" t="inlineStr">
        <is>
          <t>2026-10-23</t>
        </is>
      </c>
      <c r="C21" s="5" t="inlineStr">
        <is>
          <t>ODS declarados: 8 (principal), 10 y 12. No se declaran el 5 ni el 16</t>
        </is>
      </c>
      <c r="D21" s="5" t="inlineStr">
        <is>
          <t>Dueño</t>
        </is>
      </c>
      <c r="E21" s="5" t="inlineStr">
        <is>
          <t>Aprobada</t>
        </is>
      </c>
      <c r="F21" s="5" t="inlineStr">
        <is>
          <t>docs/corfo/BORRADOR_POSTULACION.md</t>
        </is>
      </c>
    </row>
    <row r="22">
      <c r="A22" s="5" t="inlineStr">
        <is>
          <t>D-021</t>
        </is>
      </c>
      <c r="B22" s="5" t="inlineStr">
        <is>
          <t>2026-10-23</t>
        </is>
      </c>
      <c r="C22" s="5" t="inlineStr">
        <is>
          <t>Medición de impacto: datos voluntarios (situación laboral previa, género), tipo de servicio y pregunta de reemplazo; reporte solo agregado con supresión de grupos &lt; 5 y sin cuentas demo</t>
        </is>
      </c>
      <c r="D22" s="5" t="inlineStr">
        <is>
          <t>Claude (técnica) / Dueño (estrategia)</t>
        </is>
      </c>
      <c r="E22" s="5" t="inlineStr">
        <is>
          <t>Aprobada</t>
        </is>
      </c>
      <c r="F22" s="5" t="inlineStr">
        <is>
          <t>docs/adr/0008</t>
        </is>
      </c>
    </row>
    <row r="23">
      <c r="A23" s="5" t="inlineStr">
        <is>
          <t>D-022</t>
        </is>
      </c>
      <c r="B23" s="5" t="inlineStr">
        <is>
          <t>2026-10-23</t>
        </is>
      </c>
      <c r="C23" s="5" t="inlineStr">
        <is>
          <t>Calculadora de valorización: el cálculo vive en el servidor (usa la comisión real), pesos enteros con boleta redondeada hacia arriba, exportación PDF/xlsx en el servidor, plantillas por cuenta, hoja de presupuesto extendida, contador anónimo con hash mensual</t>
        </is>
      </c>
      <c r="D23" s="5" t="inlineStr">
        <is>
          <t>Claude (técnica) / Dueño (estrategia)</t>
        </is>
      </c>
      <c r="E23" s="5" t="inlineStr">
        <is>
          <t>Aprobada</t>
        </is>
      </c>
      <c r="F23" s="5" t="inlineStr">
        <is>
          <t>docs/adr/0009</t>
        </is>
      </c>
    </row>
    <row r="24">
      <c r="A24" s="5" t="inlineStr">
        <is>
          <t>D-023</t>
        </is>
      </c>
      <c r="B24" s="5" t="inlineStr">
        <is>
          <t>2026-10-23</t>
        </is>
      </c>
      <c r="C24" s="5" t="inlineStr">
        <is>
          <t>Boleta fase 1: el proveedor registra el folio de un trabajo pagado (uno por contratación, no repetido por proveedor, una sola primera boleta); KeyServ no emite ni verifica; el folio se conserva al anonimizar la cuenta</t>
        </is>
      </c>
      <c r="D24" s="5" t="inlineStr">
        <is>
          <t>Claude (técnica) / Dueño (estrategia)</t>
        </is>
      </c>
      <c r="E24" s="5" t="inlineStr">
        <is>
          <t>Aprobada</t>
        </is>
      </c>
      <c r="F24" s="5" t="inlineStr">
        <is>
          <t>docs/adr/0010</t>
        </is>
      </c>
    </row>
    <row r="25">
      <c r="A25" s="5" t="inlineStr">
        <is>
          <t>D-024</t>
        </is>
      </c>
      <c r="B25" s="5" t="inlineStr">
        <is>
          <t>2026-10-23</t>
        </is>
      </c>
      <c r="C25" s="5" t="inlineStr">
        <is>
          <t>Vía sin historial: destacar la cédula + video en portada y registro, diciendo que es una revisión humana (no una consulta al Registro Civil); corregir el aviso "0 fotos de tu rostro guardadas"</t>
        </is>
      </c>
      <c r="D25" s="5" t="inlineStr">
        <is>
          <t>Claude (copy) / Dueño (estrategia)</t>
        </is>
      </c>
      <c r="E25" s="5" t="inlineStr">
        <is>
          <t>Aprobada</t>
        </is>
      </c>
      <c r="F25" s="5" t="inlineStr">
        <is>
          <t>docs/adr/0006 (actualización 2026-10-23)</t>
        </is>
      </c>
    </row>
  </sheetData>
  <autoFilter ref="A1:F16"/>
  <dataValidations count="1">
    <dataValidation sqref="E2:E200" showDropDown="0" showInputMessage="0" showErrorMessage="0" allowBlank="1" type="list">
      <formula1>"Aprobada,Propuesta,Pendiente,Descartada"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24" customWidth="1" min="1" max="1"/>
    <col width="90" customWidth="1" min="2" max="2"/>
    <col width="12" customWidth="1" min="3" max="3"/>
    <col width="14" customWidth="1" min="4" max="4"/>
    <col width="50" customWidth="1" min="5" max="5"/>
  </cols>
  <sheetData>
    <row r="1" ht="30" customHeight="1">
      <c r="A1" s="4" t="inlineStr">
        <is>
          <t>Tema</t>
        </is>
      </c>
      <c r="B1" s="4" t="inlineStr">
        <is>
          <t>Qué hay que hacer</t>
        </is>
      </c>
      <c r="C1" s="4" t="inlineStr">
        <is>
          <t>Listo</t>
        </is>
      </c>
      <c r="D1" s="4" t="inlineStr">
        <is>
          <t>Fecha</t>
        </is>
      </c>
      <c r="E1" s="4" t="inlineStr">
        <is>
          <t>Notas</t>
        </is>
      </c>
    </row>
    <row r="2">
      <c r="A2" s="5" t="inlineStr">
        <is>
          <t>SMTP real</t>
        </is>
      </c>
      <c r="B2" s="5" t="inlineStr">
        <is>
          <t>Crear la cuenta que enviará los correos y cargar SMTP_HOST/PORT/USER/PASSWORD y DJANGO_DEFAULT_FROM_EMAIL en .env y en Render</t>
        </is>
      </c>
      <c r="C2" s="6" t="inlineStr">
        <is>
          <t>No</t>
        </is>
      </c>
      <c r="D2" s="6" t="inlineStr"/>
      <c r="E2" s="5" t="inlineStr">
        <is>
          <t>Sin esto no llega ningún código ni aviso</t>
        </is>
      </c>
    </row>
    <row r="3">
      <c r="A3" s="5" t="inlineStr">
        <is>
          <t>Sandbox Flow</t>
        </is>
      </c>
      <c r="B3" s="5" t="inlineStr">
        <is>
          <t>Cuenta en sandbox.flow.cl; copiar ApiKey y SecretKey</t>
        </is>
      </c>
      <c r="C3" s="6" t="inlineStr">
        <is>
          <t>No</t>
        </is>
      </c>
      <c r="D3" s="6" t="inlineStr"/>
      <c r="E3" s="5" t="inlineStr">
        <is>
          <t>Escribirlas tú, nunca en el chat</t>
        </is>
      </c>
    </row>
    <row r="4">
      <c r="A4" s="5" t="inlineStr">
        <is>
          <t>Sandbox Mercado Pago</t>
        </is>
      </c>
      <c r="B4" s="5" t="inlineStr">
        <is>
          <t>Aplicación en el panel de desarrolladores de Mercado Pago Chile; copiar el Access Token de prueba</t>
        </is>
      </c>
      <c r="C4" s="6" t="inlineStr">
        <is>
          <t>No</t>
        </is>
      </c>
      <c r="D4" s="6" t="inlineStr"/>
      <c r="E4" s="5" t="inlineStr"/>
    </row>
    <row r="5">
      <c r="A5" s="5" t="inlineStr">
        <is>
          <t>Probar pagos</t>
        </is>
      </c>
      <c r="B5" s="5" t="inlineStr">
        <is>
          <t>Pago de punta a punta con cada pasarela (Mercado Pago contra Render)</t>
        </is>
      </c>
      <c r="C5" s="6" t="inlineStr">
        <is>
          <t>No</t>
        </is>
      </c>
      <c r="D5" s="6" t="inlineStr"/>
      <c r="E5" s="5" t="inlineStr">
        <is>
          <t>Avisar el error si falla</t>
        </is>
      </c>
    </row>
    <row r="6">
      <c r="A6" s="5" t="inlineStr">
        <is>
          <t>Claves de producción</t>
        </is>
      </c>
      <c r="B6" s="5" t="inlineStr">
        <is>
          <t>DJANGO_SECRET_KEY, JWT_SECRET, BIOMETRIC_ENCRYPTION_KEYS en Render</t>
        </is>
      </c>
      <c r="C6" s="6" t="inlineStr">
        <is>
          <t>No</t>
        </is>
      </c>
      <c r="D6" s="6" t="inlineStr"/>
      <c r="E6" s="5" t="inlineStr">
        <is>
          <t>Mirar las advertencias keyserv.W001-W003 en el log del deploy</t>
        </is>
      </c>
    </row>
    <row r="7">
      <c r="A7" s="5" t="inlineStr">
        <is>
          <t>Comisión</t>
        </is>
      </c>
      <c r="B7" s="5" t="inlineStr">
        <is>
          <t>Elegir tramos finales con las tarifas confirmadas de cada pasarela</t>
        </is>
      </c>
      <c r="C7" s="6" t="inlineStr">
        <is>
          <t>No</t>
        </is>
      </c>
      <c r="D7" s="6" t="inlineStr"/>
      <c r="E7" s="5" t="inlineStr">
        <is>
          <t>Hoja Comision</t>
        </is>
      </c>
    </row>
    <row r="8">
      <c r="A8" s="5" t="inlineStr">
        <is>
          <t>Recorrido manual</t>
        </is>
      </c>
      <c r="B8" s="5" t="inlineStr">
        <is>
          <t>Probar en pantalla: eliminar cuenta, cancelar/rechazar, cerrar sesiones, reembolso, verificación con video con un moderador</t>
        </is>
      </c>
      <c r="C8" s="6" t="inlineStr">
        <is>
          <t>No</t>
        </is>
      </c>
      <c r="D8" s="6" t="inlineStr"/>
      <c r="E8" s="5" t="inlineStr">
        <is>
          <t>Hoja Pruebas</t>
        </is>
      </c>
    </row>
    <row r="9">
      <c r="A9" s="5" t="inlineStr">
        <is>
          <t>Moderador</t>
        </is>
      </c>
      <c r="B9" s="5" t="inlineStr">
        <is>
          <t>Crear la cuenta de moderador real que revisará videos y cédulas (grupo Moderador)</t>
        </is>
      </c>
      <c r="C9" s="6" t="inlineStr">
        <is>
          <t>No</t>
        </is>
      </c>
      <c r="D9" s="6" t="inlineStr"/>
      <c r="E9" s="5" t="inlineStr">
        <is>
          <t>manage.py configurar_grupo_moderador</t>
        </is>
      </c>
    </row>
    <row r="10">
      <c r="A10" s="5" t="inlineStr">
        <is>
          <t>Abogado</t>
        </is>
      </c>
      <c r="B10" s="5" t="inlineStr">
        <is>
          <t>Consentimiento biométrico y de video, EIPD, evidencia para investigaciones, Términos y Condiciones, custodia de fondos</t>
        </is>
      </c>
      <c r="C10" s="6" t="inlineStr">
        <is>
          <t>No</t>
        </is>
      </c>
      <c r="D10" s="6" t="inlineStr"/>
      <c r="E10" s="5" t="inlineStr">
        <is>
          <t>ADR 0006, 0007 y plan de dinero</t>
        </is>
      </c>
    </row>
    <row r="11">
      <c r="A11" s="5" t="inlineStr">
        <is>
          <t>Contador</t>
        </is>
      </c>
      <c r="B11" s="5" t="inlineStr">
        <is>
          <t>IVA de la comisión, boletas/facturas, inicio de actividades</t>
        </is>
      </c>
      <c r="C11" s="6" t="inlineStr">
        <is>
          <t>No</t>
        </is>
      </c>
      <c r="D11" s="6" t="inlineStr"/>
      <c r="E11" s="5" t="inlineStr">
        <is>
          <t>Plan de dinero §4</t>
        </is>
      </c>
    </row>
    <row r="12">
      <c r="A12" s="5" t="inlineStr">
        <is>
          <t>Keystore Android</t>
        </is>
      </c>
      <c r="B12" s="5" t="inlineStr">
        <is>
          <t>Respaldar keyserv-release.keystore y keystore.properties fuera del repo</t>
        </is>
      </c>
      <c r="C12" s="6" t="inlineStr">
        <is>
          <t>No</t>
        </is>
      </c>
      <c r="D12" s="6" t="inlineStr"/>
      <c r="E12" s="5" t="inlineStr"/>
    </row>
    <row r="13">
      <c r="A13" s="5" t="inlineStr">
        <is>
          <t>NVIDIA</t>
        </is>
      </c>
      <c r="B13" s="5" t="inlineStr">
        <is>
          <t>Revisar si el plan gratuito permite producción y declarar el envío de texto fuera de Chile</t>
        </is>
      </c>
      <c r="C13" s="6" t="inlineStr">
        <is>
          <t>No</t>
        </is>
      </c>
      <c r="D13" s="6" t="inlineStr"/>
      <c r="E13" s="5" t="inlineStr"/>
    </row>
    <row r="14">
      <c r="A14" s="5" t="inlineStr">
        <is>
          <t>Corfo</t>
        </is>
      </c>
      <c r="B14" s="5" t="inlineStr">
        <is>
          <t>Programa, bases, encuesta Google Forms, presupuesto, equipo, video demo</t>
        </is>
      </c>
      <c r="C14" s="6" t="inlineStr">
        <is>
          <t>No</t>
        </is>
      </c>
      <c r="D14" s="6" t="inlineStr"/>
      <c r="E14" s="5" t="inlineStr"/>
    </row>
    <row r="15">
      <c r="A15" s="5" t="inlineStr">
        <is>
          <t>Abogado: medición de impacto</t>
        </is>
      </c>
      <c r="B15" s="5" t="inlineStr">
        <is>
          <t>Revisar la finalidad escrita en el registro y en la política, la base de licitud (consentimiento voluntario y revocable), si situación laboral previa y género son dato sensible bajo la Ley 21.719 y el plazo de conservación</t>
        </is>
      </c>
      <c r="C15" s="6" t="inlineStr">
        <is>
          <t>No</t>
        </is>
      </c>
      <c r="D15" s="6" t="n"/>
      <c r="E15" s="5" t="inlineStr">
        <is>
          <t>ADR 0008; registro-actividades-tratamiento.md</t>
        </is>
      </c>
    </row>
    <row r="16">
      <c r="A16" s="5" t="inlineStr">
        <is>
          <t>Contador: boleta de honorarios en la calculadora</t>
        </is>
      </c>
      <c r="B16" s="5" t="inlineStr">
        <is>
          <t>Confirmar la retención vigente (la calculadora usa 16 % para 2027, editable con CALCULADORA_RETENCION_BOLETA) y cómo van los materiales dentro de una boleta de honorarios</t>
        </is>
      </c>
      <c r="C16" s="6" t="inlineStr">
        <is>
          <t>No</t>
        </is>
      </c>
      <c r="D16" s="6" t="n"/>
      <c r="E16" s="5" t="inlineStr">
        <is>
          <t>ADR 0009</t>
        </is>
      </c>
    </row>
    <row r="17">
      <c r="A17" s="5" t="inlineStr">
        <is>
          <t>Abogado: contador anónimo de la calculadora</t>
        </is>
      </c>
      <c r="B17" s="5" t="inlineStr">
        <is>
          <t>Confirmar si el identificador aleatorio del navegador (hash mensual, sin IP ni cuenta) cuenta como dato personal y si basta con lo declarado en la política</t>
        </is>
      </c>
      <c r="C17" s="6" t="inlineStr">
        <is>
          <t>No</t>
        </is>
      </c>
      <c r="D17" s="6" t="n"/>
      <c r="E17" s="5" t="inlineStr">
        <is>
          <t>ADR 0009; registro-actividades-tratamiento.md</t>
        </is>
      </c>
    </row>
    <row r="18">
      <c r="A18" s="5" t="inlineStr">
        <is>
          <t>Contador/abogado: boleta fase 2</t>
        </is>
      </c>
      <c r="B18" s="5" t="inlineStr">
        <is>
          <t>Antes de verificar el folio con el SII o emitir boletas desde KeyServ: tratamiento tributario de la comisión, si hace falta ser emisor autorizado y qué integración corresponde</t>
        </is>
      </c>
      <c r="C18" s="6" t="inlineStr">
        <is>
          <t>No</t>
        </is>
      </c>
      <c r="D18" s="6" t="n"/>
      <c r="E18" s="5" t="inlineStr">
        <is>
          <t>ADR 0010; PLAN_FLUJO_DE_DINERO.md §4</t>
        </is>
      </c>
    </row>
  </sheetData>
  <autoFilter ref="A1:E14"/>
  <conditionalFormatting sqref="A2:E200">
    <cfRule type="expression" priority="1" dxfId="0">
      <formula>$C2="Sí"</formula>
    </cfRule>
  </conditionalFormatting>
  <dataValidations count="1">
    <dataValidation sqref="C2:C200" showDropDown="0" showInputMessage="0" showErrorMessage="0" allowBlank="1" type="list">
      <formula1>"No,En curso,Sí"</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6" customWidth="1" min="1" max="1"/>
    <col width="70" customWidth="1" min="2" max="2"/>
    <col width="14" customWidth="1" min="3" max="3"/>
    <col width="12" customWidth="1" min="4" max="4"/>
    <col width="10" customWidth="1" min="5" max="5"/>
    <col width="80" customWidth="1" min="6" max="6"/>
    <col width="12" customWidth="1" min="7" max="7"/>
  </cols>
  <sheetData>
    <row r="1" ht="30" customHeight="1">
      <c r="A1" s="4" t="inlineStr">
        <is>
          <t>N°</t>
        </is>
      </c>
      <c r="B1" s="4" t="inlineStr">
        <is>
          <t>Riesgo</t>
        </is>
      </c>
      <c r="C1" s="4" t="inlineStr">
        <is>
          <t>Probabilidad (1-5)</t>
        </is>
      </c>
      <c r="D1" s="4" t="inlineStr">
        <is>
          <t>Impacto (1-5)</t>
        </is>
      </c>
      <c r="E1" s="4" t="inlineStr">
        <is>
          <t>Puntaje</t>
        </is>
      </c>
      <c r="F1" s="4" t="inlineStr">
        <is>
          <t>Mitigación</t>
        </is>
      </c>
      <c r="G1" s="4" t="inlineStr">
        <is>
          <t>Estado</t>
        </is>
      </c>
    </row>
    <row r="2">
      <c r="A2" s="5" t="n">
        <v>1</v>
      </c>
      <c r="B2" s="5" t="inlineStr">
        <is>
          <t>Pagos nunca probados en sandbox real (Flow, Mercado Pago, Khipu)</t>
        </is>
      </c>
      <c r="C2" s="6" t="n">
        <v>4</v>
      </c>
      <c r="D2" s="6" t="n">
        <v>3</v>
      </c>
      <c r="E2" s="5">
        <f>C2*D2</f>
        <v/>
      </c>
      <c r="F2" s="5" t="inlineStr">
        <is>
          <t>Probar con cuentas de sandbox antes de mostrar; hasta entonces no se ofrecen (solo aparecen si hay claves)</t>
        </is>
      </c>
      <c r="G2" s="6" t="inlineStr">
        <is>
          <t>Abierto</t>
        </is>
      </c>
    </row>
    <row r="3">
      <c r="A3" s="5" t="n">
        <v>2</v>
      </c>
      <c r="B3" s="5" t="inlineStr">
        <is>
          <t>Correos no llegan en el demo (sin SMTP)</t>
        </is>
      </c>
      <c r="C3" s="6" t="n">
        <v>5</v>
      </c>
      <c r="D3" s="6" t="n">
        <v>3</v>
      </c>
      <c r="E3" s="5">
        <f>C3*D3</f>
        <v/>
      </c>
      <c r="F3" s="5" t="inlineStr">
        <is>
          <t>Configurar SMTP real; probar con probar_correo</t>
        </is>
      </c>
      <c r="G3" s="6" t="inlineStr">
        <is>
          <t>Abierto</t>
        </is>
      </c>
    </row>
    <row r="4">
      <c r="A4" s="5" t="n">
        <v>3</v>
      </c>
      <c r="B4" s="5" t="inlineStr">
        <is>
          <t>"Identidad verificada" promete más de lo que prueba</t>
        </is>
      </c>
      <c r="C4" s="6" t="n">
        <v>4</v>
      </c>
      <c r="D4" s="6" t="n">
        <v>5</v>
      </c>
      <c r="E4" s="5">
        <f>C4*D4</f>
        <v/>
      </c>
      <c r="F4" s="5" t="inlineStr">
        <is>
          <t>Verificación con video + cédula revisada por una persona; decidir el texto; ADR 0006</t>
        </is>
      </c>
      <c r="G4" s="6" t="inlineStr">
        <is>
          <t>Mitigando</t>
        </is>
      </c>
    </row>
    <row r="5">
      <c r="A5" s="5" t="n">
        <v>4</v>
      </c>
      <c r="B5" s="5" t="inlineStr">
        <is>
          <t>Claves de producción con valores por defecto</t>
        </is>
      </c>
      <c r="C5" s="6" t="n">
        <v>3</v>
      </c>
      <c r="D5" s="6" t="n">
        <v>5</v>
      </c>
      <c r="E5" s="5">
        <f>C5*D5</f>
        <v/>
      </c>
      <c r="F5" s="5" t="inlineStr">
        <is>
          <t>Fijarlas en Render; los avisos W001-W003 lo recuerdan en cada deploy</t>
        </is>
      </c>
      <c r="G5" s="6" t="inlineStr">
        <is>
          <t>Abierto</t>
        </is>
      </c>
    </row>
    <row r="6">
      <c r="A6" s="5" t="n">
        <v>5</v>
      </c>
      <c r="B6" s="5" t="inlineStr">
        <is>
          <t>Comisión menor al costo de la pasarela (pérdida con tarjeta en montos altos)</t>
        </is>
      </c>
      <c r="C6" s="6" t="n">
        <v>4</v>
      </c>
      <c r="D6" s="6" t="n">
        <v>4</v>
      </c>
      <c r="E6" s="5">
        <f>C6*D6</f>
        <v/>
      </c>
      <c r="F6" s="5" t="inlineStr">
        <is>
          <t>Tramos por defecto 6/5/4,5/4 %; promover transferencias; hoja Comision</t>
        </is>
      </c>
      <c r="G6" s="6" t="inlineStr">
        <is>
          <t>Mitigando</t>
        </is>
      </c>
    </row>
    <row r="7">
      <c r="A7" s="5" t="n">
        <v>6</v>
      </c>
      <c r="B7" s="5" t="inlineStr">
        <is>
          <t>Custodia de fondos de terceros sin encuadre legal (Ley Fintech)</t>
        </is>
      </c>
      <c r="C7" s="6" t="n">
        <v>3</v>
      </c>
      <c r="D7" s="6" t="n">
        <v>5</v>
      </c>
      <c r="E7" s="5">
        <f>C7*D7</f>
        <v/>
      </c>
      <c r="F7" s="5" t="inlineStr">
        <is>
          <t>Consulta a un abogado antes de cobrar dinero real</t>
        </is>
      </c>
      <c r="G7" s="6" t="inlineStr">
        <is>
          <t>Abierto</t>
        </is>
      </c>
    </row>
    <row r="8">
      <c r="A8" s="5" t="n">
        <v>7</v>
      </c>
      <c r="B8" s="5" t="inlineStr">
        <is>
          <t>Video de verificación es un dato sensible</t>
        </is>
      </c>
      <c r="C8" s="6" t="n">
        <v>3</v>
      </c>
      <c r="D8" s="6" t="n">
        <v>5</v>
      </c>
      <c r="E8" s="5">
        <f>C8*D8</f>
        <v/>
      </c>
      <c r="F8" s="5" t="inlineStr">
        <is>
          <t>Consentimiento explícito, almacenamiento privado, borrado al resolver y a los 30 días, solo staff; revisión legal</t>
        </is>
      </c>
      <c r="G8" s="6" t="inlineStr">
        <is>
          <t>Mitigando</t>
        </is>
      </c>
    </row>
    <row r="9">
      <c r="A9" s="5" t="n">
        <v>8</v>
      </c>
      <c r="B9" s="5" t="inlineStr">
        <is>
          <t>Un solo operador para verificaciones, derechos del titular y reembolsos</t>
        </is>
      </c>
      <c r="C9" s="6" t="n">
        <v>4</v>
      </c>
      <c r="D9" s="6" t="n">
        <v>3</v>
      </c>
      <c r="E9" s="5">
        <f>C9*D9</f>
        <v/>
      </c>
      <c r="F9" s="5" t="inlineStr">
        <is>
          <t>Panel con KPI; documentar procedimientos; sumar moderadores</t>
        </is>
      </c>
      <c r="G9" s="6" t="inlineStr">
        <is>
          <t>Abierto</t>
        </is>
      </c>
    </row>
    <row r="10">
      <c r="A10" s="5" t="n">
        <v>9</v>
      </c>
      <c r="B10" s="5" t="inlineStr">
        <is>
          <t>Pérdida del keystore de Android</t>
        </is>
      </c>
      <c r="C10" s="6" t="n">
        <v>2</v>
      </c>
      <c r="D10" s="6" t="n">
        <v>5</v>
      </c>
      <c r="E10" s="5">
        <f>C10*D10</f>
        <v/>
      </c>
      <c r="F10" s="5" t="inlineStr">
        <is>
          <t>Respaldo fuera del repo</t>
        </is>
      </c>
      <c r="G10" s="6" t="inlineStr">
        <is>
          <t>Abierto</t>
        </is>
      </c>
    </row>
    <row r="11">
      <c r="A11" s="5" t="n">
        <v>10</v>
      </c>
      <c r="B11" s="5" t="inlineStr">
        <is>
          <t>Evidencia para la policía se borra por la retención (chats a 90 días)</t>
        </is>
      </c>
      <c r="C11" s="6" t="n">
        <v>3</v>
      </c>
      <c r="D11" s="6" t="n">
        <v>4</v>
      </c>
      <c r="E11" s="5">
        <f>C11*D11</f>
        <v/>
      </c>
      <c r="F11" s="5" t="inlineStr">
        <is>
          <t>Decidir con abogado un "legal hold"; ADR 0007</t>
        </is>
      </c>
      <c r="G11" s="6" t="inlineStr">
        <is>
          <t>Abierto</t>
        </is>
      </c>
    </row>
    <row r="12">
      <c r="A12" s="5" t="n">
        <v>11</v>
      </c>
      <c r="B12" s="5" t="inlineStr">
        <is>
          <t>Complejidad creciente (dos frontends, muchas piezas) para una sola persona</t>
        </is>
      </c>
      <c r="C12" s="6" t="n">
        <v>4</v>
      </c>
      <c r="D12" s="6" t="n">
        <v>3</v>
      </c>
      <c r="E12" s="5">
        <f>C12*D12</f>
        <v/>
      </c>
      <c r="F12" s="5" t="inlineStr">
        <is>
          <t>Consolidar antes de sumar funciones; retirar plantillas Django por área</t>
        </is>
      </c>
      <c r="G12" s="6" t="inlineStr">
        <is>
          <t>Abierto</t>
        </is>
      </c>
    </row>
    <row r="14">
      <c r="B14" s="8" t="inlineStr">
        <is>
          <t>Puntaje = probabilidad x impacto (rojo desde 15, amarillo desde 8).</t>
        </is>
      </c>
    </row>
  </sheetData>
  <autoFilter ref="A1:G12"/>
  <conditionalFormatting sqref="E2:E12">
    <cfRule type="expression" priority="1" dxfId="1">
      <formula>E2&gt;=15</formula>
    </cfRule>
    <cfRule type="expression" priority="2" dxfId="2">
      <formula>AND(E2&gt;=8,E2&lt;15)</formula>
    </cfRule>
  </conditionalFormatting>
  <dataValidations count="1">
    <dataValidation sqref="G2:G200" showDropDown="0" showInputMessage="0" showErrorMessage="0" allowBlank="1" type="list">
      <formula1>"Abierto,Mitigando,Cerrado"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44" customWidth="1" min="1" max="1"/>
    <col width="14" customWidth="1" min="2" max="2"/>
    <col width="14" customWidth="1" min="3" max="3"/>
    <col width="20" customWidth="1" min="4" max="4"/>
    <col width="20" customWidth="1" min="5" max="5"/>
    <col width="20" customWidth="1" min="6" max="6"/>
    <col width="20" customWidth="1" min="7" max="7"/>
    <col width="22" customWidth="1" min="8" max="8"/>
  </cols>
  <sheetData>
    <row r="1">
      <c r="A1" s="1" t="inlineStr">
        <is>
          <t>Calculadora de comisión y margen por transacción</t>
        </is>
      </c>
    </row>
    <row r="2" ht="30" customHeight="1">
      <c r="A2" s="9" t="inlineStr">
        <is>
          <t>La comisión se cobra ENCIMA del precio: el cliente paga servicio + comisión, el proveedor recibe el servicio. Margen = comisión sin IVA − costo de la pasarela. Cifras en CLP. Las tarifas son de terceros (oct. 2026): confírmalas.</t>
        </is>
      </c>
    </row>
    <row r="4">
      <c r="A4" s="10" t="inlineStr">
        <is>
          <t>Comisión mínima (CLP)</t>
        </is>
      </c>
      <c r="B4" s="11" t="n">
        <v>1000</v>
      </c>
    </row>
    <row r="5">
      <c r="A5" s="10" t="inlineStr">
        <is>
          <t>IVA</t>
        </is>
      </c>
      <c r="B5" s="12" t="n">
        <v>0.19</v>
      </c>
    </row>
    <row r="6">
      <c r="A6" s="10" t="inlineStr">
        <is>
          <t>¿IVA de la pasarela recuperable? (1 = sí, 0 = no)</t>
        </is>
      </c>
      <c r="B6" s="13" t="n">
        <v>1</v>
      </c>
    </row>
    <row r="8">
      <c r="A8" s="14" t="inlineStr">
        <is>
          <t>Tramo: hasta (CLP)</t>
        </is>
      </c>
      <c r="B8" s="14" t="inlineStr">
        <is>
          <t>Comisión (%)</t>
        </is>
      </c>
    </row>
    <row r="9">
      <c r="A9" s="11" t="n">
        <v>50000</v>
      </c>
      <c r="B9" s="15" t="n">
        <v>0.06</v>
      </c>
    </row>
    <row r="10">
      <c r="A10" s="11" t="n">
        <v>200000</v>
      </c>
      <c r="B10" s="15" t="n">
        <v>0.05</v>
      </c>
    </row>
    <row r="11">
      <c r="A11" s="11" t="n">
        <v>500000</v>
      </c>
      <c r="B11" s="15" t="n">
        <v>0.045</v>
      </c>
    </row>
    <row r="12">
      <c r="A12" s="10" t="inlineStr">
        <is>
          <t>Sobre el tramo anterior</t>
        </is>
      </c>
      <c r="B12" s="15" t="n">
        <v>0.04</v>
      </c>
    </row>
    <row r="14">
      <c r="A14" s="14" t="inlineStr">
        <is>
          <t>Medio de pago</t>
        </is>
      </c>
      <c r="B14" s="14" t="inlineStr">
        <is>
          <t>% sobre el total</t>
        </is>
      </c>
      <c r="C14" s="14" t="inlineStr">
        <is>
          <t>Fijo (CLP)</t>
        </is>
      </c>
    </row>
    <row r="15">
      <c r="A15" s="10" t="inlineStr">
        <is>
          <t>Webpay débito/prepago</t>
        </is>
      </c>
      <c r="B15" s="16" t="n">
        <v>0.0175</v>
      </c>
      <c r="C15" s="11" t="n">
        <v>0</v>
      </c>
    </row>
    <row r="16">
      <c r="A16" s="10" t="inlineStr">
        <is>
          <t>Webpay crédito</t>
        </is>
      </c>
      <c r="B16" s="16" t="n">
        <v>0.0235</v>
      </c>
      <c r="C16" s="11" t="n">
        <v>0</v>
      </c>
    </row>
    <row r="17">
      <c r="A17" s="10" t="inlineStr">
        <is>
          <t>Flow tarjeta</t>
        </is>
      </c>
      <c r="B17" s="16" t="n">
        <v>0.0289</v>
      </c>
      <c r="C17" s="11" t="n">
        <v>0</v>
      </c>
    </row>
    <row r="18">
      <c r="A18" s="10" t="inlineStr">
        <is>
          <t>Transferencia (Flow/Khipu)</t>
        </is>
      </c>
      <c r="B18" s="16" t="n">
        <v>0.009900000000000001</v>
      </c>
      <c r="C18" s="11" t="n">
        <v>100</v>
      </c>
    </row>
    <row r="19">
      <c r="A19" s="8" t="inlineStr">
        <is>
          <t>Fuente de las tarifas: guías de terceros (Digitalízame, Comocobro, guía de Flow), octubre 2026; sin IVA. Confirmar con cada pasarela.</t>
        </is>
      </c>
    </row>
    <row r="21">
      <c r="A21" s="2" t="inlineStr">
        <is>
          <t>Margen por transacción (CLP)</t>
        </is>
      </c>
    </row>
    <row r="22">
      <c r="A22" s="17" t="inlineStr">
        <is>
          <t>Precio del servicio</t>
        </is>
      </c>
      <c r="B22" s="17" t="inlineStr">
        <is>
          <t>% aplicado</t>
        </is>
      </c>
      <c r="C22" s="17" t="inlineStr">
        <is>
          <t>Comisión</t>
        </is>
      </c>
      <c r="D22" s="17" t="inlineStr">
        <is>
          <t>Total que paga el cliente</t>
        </is>
      </c>
      <c r="E22" s="17">
        <f>A15</f>
        <v/>
      </c>
      <c r="F22" s="17">
        <f>A16</f>
        <v/>
      </c>
      <c r="G22" s="17">
        <f>A17</f>
        <v/>
      </c>
      <c r="H22" s="17">
        <f>A18</f>
        <v/>
      </c>
    </row>
    <row r="23">
      <c r="A23" s="11" t="n">
        <v>20000</v>
      </c>
      <c r="B23" s="18">
        <f>IF(A23&lt;=$A$9,$B$9,IF(A23&lt;=$A$10,$B$10,IF(A23&lt;=$A$11,$B$11,$B$12)))</f>
        <v/>
      </c>
      <c r="C23" s="19">
        <f>MAX(ROUND(A23*B23,0),$B$4)</f>
        <v/>
      </c>
      <c r="D23" s="19">
        <f>A23+C23</f>
        <v/>
      </c>
      <c r="E23" s="19">
        <f>C23/(1+$B$5)-(D23*$B$15+$C$15)*IF($B$6=1,1,1+$B$5)</f>
        <v/>
      </c>
      <c r="F23" s="19">
        <f>C23/(1+$B$5)-(D23*$B$16+$C$16)*IF($B$6=1,1,1+$B$5)</f>
        <v/>
      </c>
      <c r="G23" s="19">
        <f>C23/(1+$B$5)-(D23*$B$17+$C$17)*IF($B$6=1,1,1+$B$5)</f>
        <v/>
      </c>
      <c r="H23" s="19">
        <f>C23/(1+$B$5)-(D23*$B$18+$C$18)*IF($B$6=1,1,1+$B$5)</f>
        <v/>
      </c>
    </row>
    <row r="24">
      <c r="A24" s="11" t="n">
        <v>50000</v>
      </c>
      <c r="B24" s="18">
        <f>IF(A24&lt;=$A$9,$B$9,IF(A24&lt;=$A$10,$B$10,IF(A24&lt;=$A$11,$B$11,$B$12)))</f>
        <v/>
      </c>
      <c r="C24" s="19">
        <f>MAX(ROUND(A24*B24,0),$B$4)</f>
        <v/>
      </c>
      <c r="D24" s="19">
        <f>A24+C24</f>
        <v/>
      </c>
      <c r="E24" s="19">
        <f>C24/(1+$B$5)-(D24*$B$15+$C$15)*IF($B$6=1,1,1+$B$5)</f>
        <v/>
      </c>
      <c r="F24" s="19">
        <f>C24/(1+$B$5)-(D24*$B$16+$C$16)*IF($B$6=1,1,1+$B$5)</f>
        <v/>
      </c>
      <c r="G24" s="19">
        <f>C24/(1+$B$5)-(D24*$B$17+$C$17)*IF($B$6=1,1,1+$B$5)</f>
        <v/>
      </c>
      <c r="H24" s="19">
        <f>C24/(1+$B$5)-(D24*$B$18+$C$18)*IF($B$6=1,1,1+$B$5)</f>
        <v/>
      </c>
    </row>
    <row r="25">
      <c r="A25" s="11" t="n">
        <v>100000</v>
      </c>
      <c r="B25" s="18">
        <f>IF(A25&lt;=$A$9,$B$9,IF(A25&lt;=$A$10,$B$10,IF(A25&lt;=$A$11,$B$11,$B$12)))</f>
        <v/>
      </c>
      <c r="C25" s="19">
        <f>MAX(ROUND(A25*B25,0),$B$4)</f>
        <v/>
      </c>
      <c r="D25" s="19">
        <f>A25+C25</f>
        <v/>
      </c>
      <c r="E25" s="19">
        <f>C25/(1+$B$5)-(D25*$B$15+$C$15)*IF($B$6=1,1,1+$B$5)</f>
        <v/>
      </c>
      <c r="F25" s="19">
        <f>C25/(1+$B$5)-(D25*$B$16+$C$16)*IF($B$6=1,1,1+$B$5)</f>
        <v/>
      </c>
      <c r="G25" s="19">
        <f>C25/(1+$B$5)-(D25*$B$17+$C$17)*IF($B$6=1,1,1+$B$5)</f>
        <v/>
      </c>
      <c r="H25" s="19">
        <f>C25/(1+$B$5)-(D25*$B$18+$C$18)*IF($B$6=1,1,1+$B$5)</f>
        <v/>
      </c>
    </row>
    <row r="26">
      <c r="A26" s="11" t="n">
        <v>300000</v>
      </c>
      <c r="B26" s="18">
        <f>IF(A26&lt;=$A$9,$B$9,IF(A26&lt;=$A$10,$B$10,IF(A26&lt;=$A$11,$B$11,$B$12)))</f>
        <v/>
      </c>
      <c r="C26" s="19">
        <f>MAX(ROUND(A26*B26,0),$B$4)</f>
        <v/>
      </c>
      <c r="D26" s="19">
        <f>A26+C26</f>
        <v/>
      </c>
      <c r="E26" s="19">
        <f>C26/(1+$B$5)-(D26*$B$15+$C$15)*IF($B$6=1,1,1+$B$5)</f>
        <v/>
      </c>
      <c r="F26" s="19">
        <f>C26/(1+$B$5)-(D26*$B$16+$C$16)*IF($B$6=1,1,1+$B$5)</f>
        <v/>
      </c>
      <c r="G26" s="19">
        <f>C26/(1+$B$5)-(D26*$B$17+$C$17)*IF($B$6=1,1,1+$B$5)</f>
        <v/>
      </c>
      <c r="H26" s="19">
        <f>C26/(1+$B$5)-(D26*$B$18+$C$18)*IF($B$6=1,1,1+$B$5)</f>
        <v/>
      </c>
    </row>
    <row r="27">
      <c r="A27" s="11" t="n">
        <v>600000</v>
      </c>
      <c r="B27" s="18">
        <f>IF(A27&lt;=$A$9,$B$9,IF(A27&lt;=$A$10,$B$10,IF(A27&lt;=$A$11,$B$11,$B$12)))</f>
        <v/>
      </c>
      <c r="C27" s="19">
        <f>MAX(ROUND(A27*B27,0),$B$4)</f>
        <v/>
      </c>
      <c r="D27" s="19">
        <f>A27+C27</f>
        <v/>
      </c>
      <c r="E27" s="19">
        <f>C27/(1+$B$5)-(D27*$B$15+$C$15)*IF($B$6=1,1,1+$B$5)</f>
        <v/>
      </c>
      <c r="F27" s="19">
        <f>C27/(1+$B$5)-(D27*$B$16+$C$16)*IF($B$6=1,1,1+$B$5)</f>
        <v/>
      </c>
      <c r="G27" s="19">
        <f>C27/(1+$B$5)-(D27*$B$17+$C$17)*IF($B$6=1,1,1+$B$5)</f>
        <v/>
      </c>
      <c r="H27" s="19">
        <f>C27/(1+$B$5)-(D27*$B$18+$C$18)*IF($B$6=1,1,1+$B$5)</f>
        <v/>
      </c>
    </row>
    <row r="28">
      <c r="A28" s="11" t="n">
        <v>1000000</v>
      </c>
      <c r="B28" s="18">
        <f>IF(A28&lt;=$A$9,$B$9,IF(A28&lt;=$A$10,$B$10,IF(A28&lt;=$A$11,$B$11,$B$12)))</f>
        <v/>
      </c>
      <c r="C28" s="19">
        <f>MAX(ROUND(A28*B28,0),$B$4)</f>
        <v/>
      </c>
      <c r="D28" s="19">
        <f>A28+C28</f>
        <v/>
      </c>
      <c r="E28" s="19">
        <f>C28/(1+$B$5)-(D28*$B$15+$C$15)*IF($B$6=1,1,1+$B$5)</f>
        <v/>
      </c>
      <c r="F28" s="19">
        <f>C28/(1+$B$5)-(D28*$B$16+$C$16)*IF($B$6=1,1,1+$B$5)</f>
        <v/>
      </c>
      <c r="G28" s="19">
        <f>C28/(1+$B$5)-(D28*$B$17+$C$17)*IF($B$6=1,1,1+$B$5)</f>
        <v/>
      </c>
      <c r="H28" s="19">
        <f>C28/(1+$B$5)-(D28*$B$18+$C$18)*IF($B$6=1,1,1+$B$5)</f>
        <v/>
      </c>
    </row>
    <row r="30">
      <c r="A30" s="8" t="inlineStr">
        <is>
          <t>Rojo = KeyServ pierde plata en esa combinación. Es margen bruto: no incluye hosting, revisión de identidad, soporte ni impuesto a la renta. Cambia los valores azules para probar otros tramos.</t>
        </is>
      </c>
    </row>
    <row r="31">
      <c r="A31" s="8" t="inlineStr">
        <is>
          <t>Para aplicar tramos distintos en el sistema: variable de entorno COMISION_TRAMOS (JSON) y COMISION_MINIMA; ver docs/ANALISIS_COMISION.md.</t>
        </is>
      </c>
    </row>
  </sheetData>
  <mergeCells count="1">
    <mergeCell ref="A2:H2"/>
  </mergeCells>
  <conditionalFormatting sqref="E23:H28">
    <cfRule type="expression" priority="1" dxfId="1">
      <formula>E23&lt;0</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8" customWidth="1" min="1" max="1"/>
    <col width="12" customWidth="1" min="2" max="2"/>
    <col width="16" customWidth="1" min="3" max="3"/>
    <col width="14" customWidth="1" min="4" max="4"/>
    <col width="16" customWidth="1" min="5" max="5"/>
    <col width="60" customWidth="1" min="6" max="6"/>
  </cols>
  <sheetData>
    <row r="1">
      <c r="A1" s="1" t="inlineStr">
        <is>
          <t>Presupuesto con supuestos (para Corfo)</t>
        </is>
      </c>
    </row>
    <row r="2">
      <c r="A2" s="8" t="inlineStr">
        <is>
          <t>Completa las celdas amarillas. Escribe de dónde sale cada número en la última columna: Corfo pide supuestos escritos.</t>
        </is>
      </c>
    </row>
    <row r="3">
      <c r="A3" s="10" t="inlineStr">
        <is>
          <t>Tipo de cambio USD → CLP</t>
        </is>
      </c>
      <c r="B3" s="11" t="n"/>
      <c r="F3" s="8" t="inlineStr">
        <is>
          <t>Completa con el valor del día; las filas en USD se convierten con este número.</t>
        </is>
      </c>
    </row>
    <row r="5" ht="30" customHeight="1">
      <c r="A5" s="17" t="inlineStr">
        <is>
          <t>Concepto</t>
        </is>
      </c>
      <c r="B5" s="17" t="inlineStr">
        <is>
          <t>Moneda</t>
        </is>
      </c>
      <c r="C5" s="17" t="inlineStr">
        <is>
          <t>Monto unitario</t>
        </is>
      </c>
      <c r="D5" s="17" t="inlineStr">
        <is>
          <t>Cantidad (meses o unidades)</t>
        </is>
      </c>
      <c r="E5" s="17" t="inlineStr">
        <is>
          <t>Total (CLP)</t>
        </is>
      </c>
      <c r="F5" s="17" t="inlineStr">
        <is>
          <t>Supuesto / fuente</t>
        </is>
      </c>
    </row>
    <row r="6">
      <c r="A6" s="5" t="inlineStr">
        <is>
          <t>Cuenta de desarrollador de Google Play (pago único)</t>
        </is>
      </c>
      <c r="B6" s="6" t="inlineStr">
        <is>
          <t>USD</t>
        </is>
      </c>
      <c r="C6" s="20" t="n">
        <v>25</v>
      </c>
      <c r="D6" s="20" t="n">
        <v>1</v>
      </c>
      <c r="E6" s="21">
        <f>IF(C6="","",C6*D6*IF(B6="USD",$B$3,1))</f>
        <v/>
      </c>
      <c r="F6" s="5" t="inlineStr">
        <is>
          <t>Ejemplo ya completado: tarifa de registro de Google Play Console, pago único.</t>
        </is>
      </c>
    </row>
    <row r="7">
      <c r="A7" s="5" t="inlineStr">
        <is>
          <t>Cuenta de desarrollador de Apple (anual)</t>
        </is>
      </c>
      <c r="B7" s="6" t="inlineStr">
        <is>
          <t>USD</t>
        </is>
      </c>
      <c r="C7" s="20" t="n">
        <v>99</v>
      </c>
      <c r="D7" s="20" t="n">
        <v>1</v>
      </c>
      <c r="E7" s="21">
        <f>IF(C7="","",C7*D7*IF(B7="USD",$B$3,1))</f>
        <v/>
      </c>
      <c r="F7" s="5" t="inlineStr">
        <is>
          <t>Ejemplo ya completado: membresía anual del Apple Developer Program. Solo si se publica en iOS.</t>
        </is>
      </c>
    </row>
    <row r="8">
      <c r="A8" s="5" t="inlineStr">
        <is>
          <t>Hosting del backend (Render)</t>
        </is>
      </c>
      <c r="B8" s="6" t="inlineStr">
        <is>
          <t>CLP</t>
        </is>
      </c>
      <c r="C8" s="20" t="n"/>
      <c r="D8" s="20" t="n">
        <v>12</v>
      </c>
      <c r="E8" s="21">
        <f>IF(C8="","",C8*D8*IF(B8="USD",$B$3,1))</f>
        <v/>
      </c>
      <c r="F8" s="5" t="inlineStr">
        <is>
          <t>Completar: plan de pago cuando se salga del plan gratuito.</t>
        </is>
      </c>
    </row>
    <row r="9">
      <c r="A9" s="5" t="inlineStr">
        <is>
          <t>Base de datos (Neon)</t>
        </is>
      </c>
      <c r="B9" s="6" t="inlineStr">
        <is>
          <t>CLP</t>
        </is>
      </c>
      <c r="C9" s="20" t="n"/>
      <c r="D9" s="20" t="n">
        <v>12</v>
      </c>
      <c r="E9" s="21">
        <f>IF(C9="","",C9*D9*IF(B9="USD",$B$3,1))</f>
        <v/>
      </c>
      <c r="F9" s="5" t="inlineStr">
        <is>
          <t>Completar</t>
        </is>
      </c>
    </row>
    <row r="10">
      <c r="A10" s="5" t="inlineStr">
        <is>
          <t>Hosting del frontend (Netlify)</t>
        </is>
      </c>
      <c r="B10" s="6" t="inlineStr">
        <is>
          <t>CLP</t>
        </is>
      </c>
      <c r="C10" s="20" t="n"/>
      <c r="D10" s="20" t="n">
        <v>12</v>
      </c>
      <c r="E10" s="21">
        <f>IF(C10="","",C10*D10*IF(B10="USD",$B$3,1))</f>
        <v/>
      </c>
      <c r="F10" s="5" t="inlineStr">
        <is>
          <t>Completar</t>
        </is>
      </c>
    </row>
    <row r="11">
      <c r="A11" s="5" t="inlineStr">
        <is>
          <t>Dominio .cl</t>
        </is>
      </c>
      <c r="B11" s="6" t="inlineStr">
        <is>
          <t>CLP</t>
        </is>
      </c>
      <c r="C11" s="20" t="n"/>
      <c r="D11" s="20" t="n">
        <v>1</v>
      </c>
      <c r="E11" s="21">
        <f>IF(C11="","",C11*D11*IF(B11="USD",$B$3,1))</f>
        <v/>
      </c>
      <c r="F11" s="5" t="inlineStr">
        <is>
          <t>Completar (renovación anual)</t>
        </is>
      </c>
    </row>
    <row r="12">
      <c r="A12" s="5" t="inlineStr">
        <is>
          <t>Correo transaccional (SMTP)</t>
        </is>
      </c>
      <c r="B12" s="6" t="inlineStr">
        <is>
          <t>CLP</t>
        </is>
      </c>
      <c r="C12" s="20" t="n"/>
      <c r="D12" s="20" t="n">
        <v>12</v>
      </c>
      <c r="E12" s="21">
        <f>IF(C12="","",C12*D12*IF(B12="USD",$B$3,1))</f>
        <v/>
      </c>
      <c r="F12" s="5" t="inlineStr">
        <is>
          <t>Completar</t>
        </is>
      </c>
    </row>
    <row r="13">
      <c r="A13" s="5" t="inlineStr">
        <is>
          <t>Abogado (revisión legal, Términos, EIPD)</t>
        </is>
      </c>
      <c r="B13" s="6" t="inlineStr">
        <is>
          <t>CLP</t>
        </is>
      </c>
      <c r="C13" s="20" t="n"/>
      <c r="D13" s="20" t="n">
        <v>1</v>
      </c>
      <c r="E13" s="21">
        <f>IF(C13="","",C13*D13*IF(B13="USD",$B$3,1))</f>
        <v/>
      </c>
      <c r="F13" s="5" t="inlineStr">
        <is>
          <t>Completar con cotización</t>
        </is>
      </c>
    </row>
    <row r="14">
      <c r="A14" s="5" t="inlineStr">
        <is>
          <t>Contador (inicio de actividades, boletas)</t>
        </is>
      </c>
      <c r="B14" s="6" t="inlineStr">
        <is>
          <t>CLP</t>
        </is>
      </c>
      <c r="C14" s="20" t="n"/>
      <c r="D14" s="20" t="n">
        <v>12</v>
      </c>
      <c r="E14" s="21">
        <f>IF(C14="","",C14*D14*IF(B14="USD",$B$3,1))</f>
        <v/>
      </c>
      <c r="F14" s="5" t="inlineStr">
        <is>
          <t>Completar con cotización</t>
        </is>
      </c>
    </row>
    <row r="15">
      <c r="A15" s="5" t="inlineStr">
        <is>
          <t>Moderador que revisa verificaciones</t>
        </is>
      </c>
      <c r="B15" s="6" t="inlineStr">
        <is>
          <t>CLP</t>
        </is>
      </c>
      <c r="C15" s="20" t="n"/>
      <c r="D15" s="20" t="n">
        <v>12</v>
      </c>
      <c r="E15" s="21">
        <f>IF(C15="","",C15*D15*IF(B15="USD",$B$3,1))</f>
        <v/>
      </c>
      <c r="F15" s="5" t="inlineStr">
        <is>
          <t>Completar: horas por mes x valor hora</t>
        </is>
      </c>
    </row>
    <row r="16">
      <c r="A16" s="5" t="inlineStr">
        <is>
          <t>Desarrollo (horas)</t>
        </is>
      </c>
      <c r="B16" s="6" t="inlineStr">
        <is>
          <t>CLP</t>
        </is>
      </c>
      <c r="C16" s="20" t="n"/>
      <c r="D16" s="20" t="n">
        <v>1</v>
      </c>
      <c r="E16" s="21">
        <f>IF(C16="","",C16*D16*IF(B16="USD",$B$3,1))</f>
        <v/>
      </c>
      <c r="F16" s="5" t="inlineStr">
        <is>
          <t>Completar</t>
        </is>
      </c>
    </row>
    <row r="17">
      <c r="A17" s="5" t="inlineStr">
        <is>
          <t>Marketing / captación de proveedores</t>
        </is>
      </c>
      <c r="B17" s="6" t="inlineStr">
        <is>
          <t>CLP</t>
        </is>
      </c>
      <c r="C17" s="20" t="n"/>
      <c r="D17" s="20" t="n">
        <v>1</v>
      </c>
      <c r="E17" s="21">
        <f>IF(C17="","",C17*D17*IF(B17="USD",$B$3,1))</f>
        <v/>
      </c>
      <c r="F17" s="5" t="inlineStr">
        <is>
          <t>Completar</t>
        </is>
      </c>
    </row>
    <row r="18">
      <c r="A18" s="2" t="inlineStr">
        <is>
          <t>Total</t>
        </is>
      </c>
      <c r="E18" s="22">
        <f>SUM(E6:E17)</f>
        <v/>
      </c>
    </row>
  </sheetData>
  <dataValidations count="1">
    <dataValidation sqref="B6:B67" showDropDown="0" showInputMessage="0" showErrorMessage="0" allowBlank="1" type="list">
      <formula1>"CLP,USD"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50" customWidth="1" min="3" max="3"/>
    <col width="50" customWidth="1" min="4" max="4"/>
    <col width="60" customWidth="1" min="5" max="5"/>
    <col width="12" customWidth="1" min="6" max="6"/>
    <col width="14" customWidth="1" min="7" max="7"/>
    <col width="40" customWidth="1" min="8" max="8"/>
  </cols>
  <sheetData>
    <row r="1" ht="30" customHeight="1">
      <c r="A1" s="4" t="inlineStr">
        <is>
          <t>ID</t>
        </is>
      </c>
      <c r="B1" s="4" t="inlineStr">
        <is>
          <t>Área</t>
        </is>
      </c>
      <c r="C1" s="4" t="inlineStr">
        <is>
          <t>Caso</t>
        </is>
      </c>
      <c r="D1" s="4" t="inlineStr">
        <is>
          <t>Pasos</t>
        </is>
      </c>
      <c r="E1" s="4" t="inlineStr">
        <is>
          <t>Resultado esperado</t>
        </is>
      </c>
      <c r="F1" s="4" t="inlineStr">
        <is>
          <t>Resultado</t>
        </is>
      </c>
      <c r="G1" s="4" t="inlineStr">
        <is>
          <t>Fecha</t>
        </is>
      </c>
      <c r="H1" s="4" t="inlineStr">
        <is>
          <t>Notas</t>
        </is>
      </c>
    </row>
    <row r="2">
      <c r="A2" s="5" t="inlineStr">
        <is>
          <t>P-001</t>
        </is>
      </c>
      <c r="B2" s="5" t="inlineStr">
        <is>
          <t>Cuenta</t>
        </is>
      </c>
      <c r="C2" s="5" t="inlineStr">
        <is>
          <t>Registro con RUT válido, teléfono de 9 dígitos y política aceptada</t>
        </is>
      </c>
      <c r="D2" s="5" t="inlineStr">
        <is>
          <t>Completar el formulario de /registro</t>
        </is>
      </c>
      <c r="E2" s="5" t="inlineStr">
        <is>
          <t>Cuenta creada; RUT inválido o repetido se rechaza con mensaje claro</t>
        </is>
      </c>
      <c r="F2" s="6" t="inlineStr"/>
      <c r="G2" s="6" t="inlineStr"/>
      <c r="H2" s="6" t="inlineStr"/>
    </row>
    <row r="3">
      <c r="A3" s="5" t="inlineStr">
        <is>
          <t>P-002</t>
        </is>
      </c>
      <c r="B3" s="5" t="inlineStr">
        <is>
          <t>Cuenta</t>
        </is>
      </c>
      <c r="C3" s="5" t="inlineStr">
        <is>
          <t>Login y logout; login con clave mala</t>
        </is>
      </c>
      <c r="D3" s="5" t="inlineStr">
        <is>
          <t>Ingresar con clave correcta e incorrecta</t>
        </is>
      </c>
      <c r="E3" s="5" t="inlineStr">
        <is>
          <t>Entra con la correcta; la incorrecta da error; tras varios fallos se bloquea</t>
        </is>
      </c>
      <c r="F3" s="6" t="inlineStr"/>
      <c r="G3" s="6" t="inlineStr"/>
      <c r="H3" s="6" t="inlineStr"/>
    </row>
    <row r="4">
      <c r="A4" s="5" t="inlineStr">
        <is>
          <t>P-003</t>
        </is>
      </c>
      <c r="B4" s="5" t="inlineStr">
        <is>
          <t>Cuenta</t>
        </is>
      </c>
      <c r="C4" s="5" t="inlineStr">
        <is>
          <t>Recuperar contraseña</t>
        </is>
      </c>
      <c r="D4" s="5" t="inlineStr">
        <is>
          <t>¿Olvidaste tu contraseña? → correo → enlace</t>
        </is>
      </c>
      <c r="E4" s="5" t="inlineStr">
        <is>
          <t>Llega el correo (requiere SMTP) y la clave nueva funciona; las otras sesiones se cierran</t>
        </is>
      </c>
      <c r="F4" s="6" t="inlineStr"/>
      <c r="G4" s="6" t="inlineStr"/>
      <c r="H4" s="6" t="inlineStr"/>
    </row>
    <row r="5">
      <c r="A5" s="5" t="inlineStr">
        <is>
          <t>P-004</t>
        </is>
      </c>
      <c r="B5" s="5" t="inlineStr">
        <is>
          <t>Cuenta</t>
        </is>
      </c>
      <c r="C5" s="5" t="inlineStr">
        <is>
          <t>Cambiar contraseña desde Preferencias</t>
        </is>
      </c>
      <c r="D5" s="5" t="inlineStr">
        <is>
          <t>Preferencias → cambiar contraseña</t>
        </is>
      </c>
      <c r="E5" s="5" t="inlineStr">
        <is>
          <t>Se cambia, sigues dentro y llega un aviso por correo</t>
        </is>
      </c>
      <c r="F5" s="6" t="inlineStr"/>
      <c r="G5" s="6" t="inlineStr"/>
      <c r="H5" s="6" t="inlineStr"/>
    </row>
    <row r="6">
      <c r="A6" s="5" t="inlineStr">
        <is>
          <t>P-005</t>
        </is>
      </c>
      <c r="B6" s="5" t="inlineStr">
        <is>
          <t>Cuenta</t>
        </is>
      </c>
      <c r="C6" s="5" t="inlineStr">
        <is>
          <t>Cerrar sesión en todos los dispositivos</t>
        </is>
      </c>
      <c r="D6" s="5" t="inlineStr">
        <is>
          <t>Preferencias → Seguridad de la sesión → pedir código → ingresarlo</t>
        </is>
      </c>
      <c r="E6" s="5" t="inlineStr">
        <is>
          <t>Llega el código; con el correcto se cierran todas las sesiones y vuelves al login</t>
        </is>
      </c>
      <c r="F6" s="6" t="inlineStr"/>
      <c r="G6" s="6" t="inlineStr"/>
      <c r="H6" s="6" t="inlineStr"/>
    </row>
    <row r="7">
      <c r="A7" s="5" t="inlineStr">
        <is>
          <t>P-006</t>
        </is>
      </c>
      <c r="B7" s="5" t="inlineStr">
        <is>
          <t>Cuenta</t>
        </is>
      </c>
      <c r="C7" s="5" t="inlineStr">
        <is>
          <t>Eliminar cuenta con espera de 15 días</t>
        </is>
      </c>
      <c r="D7" s="5" t="inlineStr">
        <is>
          <t>Preferencias → Eliminar mi cuenta → contraseña</t>
        </is>
      </c>
      <c r="E7" s="5" t="inlineStr">
        <is>
          <t>La cuenta queda bloqueada con fecha de eliminación; sus solicitudes sin confirmar se cancelan; con un trabajo confirmado se rechaza</t>
        </is>
      </c>
      <c r="F7" s="6" t="inlineStr"/>
      <c r="G7" s="6" t="inlineStr"/>
      <c r="H7" s="6" t="inlineStr"/>
    </row>
    <row r="8">
      <c r="A8" s="5" t="inlineStr">
        <is>
          <t>P-007</t>
        </is>
      </c>
      <c r="B8" s="5" t="inlineStr">
        <is>
          <t>Cuenta</t>
        </is>
      </c>
      <c r="C8" s="5" t="inlineStr">
        <is>
          <t>Cancelar la eliminación</t>
        </is>
      </c>
      <c r="D8" s="5" t="inlineStr">
        <is>
          <t>Mis datos → desbloquear el tratamiento</t>
        </is>
      </c>
      <c r="E8" s="5" t="inlineStr">
        <is>
          <t>Desaparece la fecha de eliminación</t>
        </is>
      </c>
      <c r="F8" s="6" t="inlineStr"/>
      <c r="G8" s="6" t="inlineStr"/>
      <c r="H8" s="6" t="inlineStr"/>
    </row>
    <row r="9">
      <c r="A9" s="5" t="inlineStr">
        <is>
          <t>P-008</t>
        </is>
      </c>
      <c r="B9" s="5" t="inlineStr">
        <is>
          <t>Catálogo</t>
        </is>
      </c>
      <c r="C9" s="5" t="inlineStr">
        <is>
          <t>Buscar, filtrar y abrir un servicio</t>
        </is>
      </c>
      <c r="D9" s="5" t="inlineStr">
        <is>
          <t>/catalogo, buscar, abrir un detalle</t>
        </is>
      </c>
      <c r="E9" s="5" t="inlineStr">
        <is>
          <t>Resultados correctos y detalle completo</t>
        </is>
      </c>
      <c r="F9" s="6" t="inlineStr"/>
      <c r="G9" s="6" t="inlineStr"/>
      <c r="H9" s="6" t="inlineStr"/>
    </row>
    <row r="10">
      <c r="A10" s="5" t="inlineStr">
        <is>
          <t>P-009</t>
        </is>
      </c>
      <c r="B10" s="5" t="inlineStr">
        <is>
          <t>Proveedor</t>
        </is>
      </c>
      <c r="C10" s="5" t="inlineStr">
        <is>
          <t>Publicar un servicio con fotos</t>
        </is>
      </c>
      <c r="D10" s="5" t="inlineStr">
        <is>
          <t>Crear publicación</t>
        </is>
      </c>
      <c r="E10" s="5" t="inlineStr">
        <is>
          <t>Queda pendiente de moderación; el moderador la aprueba</t>
        </is>
      </c>
      <c r="F10" s="6" t="inlineStr"/>
      <c r="G10" s="6" t="inlineStr"/>
      <c r="H10" s="6" t="inlineStr"/>
    </row>
    <row r="11">
      <c r="A11" s="5" t="inlineStr">
        <is>
          <t>P-010</t>
        </is>
      </c>
      <c r="B11" s="5" t="inlineStr">
        <is>
          <t>Contratación</t>
        </is>
      </c>
      <c r="C11" s="5" t="inlineStr">
        <is>
          <t>Solicitar un servicio</t>
        </is>
      </c>
      <c r="D11" s="5" t="inlineStr">
        <is>
          <t>Cliente → Contratar</t>
        </is>
      </c>
      <c r="E11" s="5" t="inlineStr">
        <is>
          <t>Se crea la solicitud; el proveedor recibe aviso (y correo si hay SMTP)</t>
        </is>
      </c>
      <c r="F11" s="6" t="inlineStr"/>
      <c r="G11" s="6" t="inlineStr"/>
      <c r="H11" s="6" t="inlineStr"/>
    </row>
    <row r="12">
      <c r="A12" s="5" t="inlineStr">
        <is>
          <t>P-011</t>
        </is>
      </c>
      <c r="B12" s="5" t="inlineStr">
        <is>
          <t>Contratación</t>
        </is>
      </c>
      <c r="C12" s="5" t="inlineStr">
        <is>
          <t>Rechazar (proveedor) y cancelar (cliente) antes de pagar</t>
        </is>
      </c>
      <c r="D12" s="5" t="inlineStr">
        <is>
          <t>Botones en el detalle del trabajo</t>
        </is>
      </c>
      <c r="E12" s="5" t="inlineStr">
        <is>
          <t>Estado Cancelada, mensaje en el chat y aviso a la otra parte</t>
        </is>
      </c>
      <c r="F12" s="6" t="inlineStr"/>
      <c r="G12" s="6" t="inlineStr"/>
      <c r="H12" s="6" t="inlineStr"/>
    </row>
    <row r="13">
      <c r="A13" s="5" t="inlineStr">
        <is>
          <t>P-012</t>
        </is>
      </c>
      <c r="B13" s="5" t="inlineStr">
        <is>
          <t>Contratación</t>
        </is>
      </c>
      <c r="C13" s="5" t="inlineStr">
        <is>
          <t>Expiración de solicitudes sin respuesta</t>
        </is>
      </c>
      <c r="D13" s="5" t="inlineStr">
        <is>
          <t>manage.py expirar_solicitudes --dias 0 (en local)</t>
        </is>
      </c>
      <c r="E13" s="5" t="inlineStr">
        <is>
          <t>Las solicitudes pasan a Cancelada y se avisa a ambos</t>
        </is>
      </c>
      <c r="F13" s="6" t="inlineStr"/>
      <c r="G13" s="6" t="inlineStr"/>
      <c r="H13" s="6" t="inlineStr"/>
    </row>
    <row r="14">
      <c r="A14" s="5" t="inlineStr">
        <is>
          <t>P-013</t>
        </is>
      </c>
      <c r="B14" s="5" t="inlineStr">
        <is>
          <t>Contratación</t>
        </is>
      </c>
      <c r="C14" s="5" t="inlineStr">
        <is>
          <t>Confirmar con monto y ver la comisión</t>
        </is>
      </c>
      <c r="D14" s="5" t="inlineStr">
        <is>
          <t>Proveedor confirma; cliente abre el detalle</t>
        </is>
      </c>
      <c r="E14" s="5" t="inlineStr">
        <is>
          <t>El cliente ve servicio + comisión = total; el proveedor ve que recibe el monto completo</t>
        </is>
      </c>
      <c r="F14" s="6" t="inlineStr"/>
      <c r="G14" s="6" t="inlineStr"/>
      <c r="H14" s="6" t="inlineStr"/>
    </row>
    <row r="15">
      <c r="A15" s="5" t="inlineStr">
        <is>
          <t>P-014</t>
        </is>
      </c>
      <c r="B15" s="5" t="inlineStr">
        <is>
          <t>Pagos</t>
        </is>
      </c>
      <c r="C15" s="5" t="inlineStr">
        <is>
          <t>Pagar con Webpay (sandbox)</t>
        </is>
      </c>
      <c r="D15" s="5" t="inlineStr">
        <is>
          <t>Pagar → tarjeta de prueba de Transbank</t>
        </is>
      </c>
      <c r="E15" s="5" t="inlineStr">
        <is>
          <t>Vuelve a la app, el trabajo pasa a En curso y llegan los avisos</t>
        </is>
      </c>
      <c r="F15" s="6" t="inlineStr"/>
      <c r="G15" s="6" t="inlineStr"/>
      <c r="H15" s="6" t="inlineStr"/>
    </row>
    <row r="16">
      <c r="A16" s="5" t="inlineStr">
        <is>
          <t>P-015</t>
        </is>
      </c>
      <c r="B16" s="5" t="inlineStr">
        <is>
          <t>Pagos</t>
        </is>
      </c>
      <c r="C16" s="5" t="inlineStr">
        <is>
          <t>Recargar la página de retorno de Webpay</t>
        </is>
      </c>
      <c r="D16" s="5" t="inlineStr">
        <is>
          <t>F5 en la pantalla de resultado</t>
        </is>
      </c>
      <c r="E16" s="5" t="inlineStr">
        <is>
          <t>Sigue mostrando "aprobado"; el pago no queda rechazado</t>
        </is>
      </c>
      <c r="F16" s="6" t="inlineStr"/>
      <c r="G16" s="6" t="inlineStr"/>
      <c r="H16" s="6" t="inlineStr"/>
    </row>
    <row r="17">
      <c r="A17" s="5" t="inlineStr">
        <is>
          <t>P-016</t>
        </is>
      </c>
      <c r="B17" s="5" t="inlineStr">
        <is>
          <t>Pagos</t>
        </is>
      </c>
      <c r="C17" s="5" t="inlineStr">
        <is>
          <t>Pagar con Flow y con Mercado Pago (sandbox)</t>
        </is>
      </c>
      <c r="D17" s="5" t="inlineStr">
        <is>
          <t>Requiere las claves de sandbox</t>
        </is>
      </c>
      <c r="E17" s="5" t="inlineStr">
        <is>
          <t>Aparecen los botones solo si hay claves; el pago aprueba y el trabajo avanza</t>
        </is>
      </c>
      <c r="F17" s="6" t="inlineStr"/>
      <c r="G17" s="6" t="inlineStr"/>
      <c r="H17" s="6" t="inlineStr"/>
    </row>
    <row r="18">
      <c r="A18" s="5" t="inlineStr">
        <is>
          <t>P-017</t>
        </is>
      </c>
      <c r="B18" s="5" t="inlineStr">
        <is>
          <t>Pagos</t>
        </is>
      </c>
      <c r="C18" s="5" t="inlineStr">
        <is>
          <t>Pedir reembolso de un trabajo pagado</t>
        </is>
      </c>
      <c r="D18" s="5" t="inlineStr">
        <is>
          <t>Detalle del trabajo En curso → Pedir cancelación y reembolso</t>
        </is>
      </c>
      <c r="E18" s="5" t="inlineStr">
        <is>
          <t>Aparece "en revisión"; en /admin/ el superusuario lo ve en el KPI y lo marca como reembolsado</t>
        </is>
      </c>
      <c r="F18" s="6" t="inlineStr"/>
      <c r="G18" s="6" t="inlineStr"/>
      <c r="H18" s="6" t="inlineStr"/>
    </row>
    <row r="19">
      <c r="A19" s="5" t="inlineStr">
        <is>
          <t>P-018</t>
        </is>
      </c>
      <c r="B19" s="5" t="inlineStr">
        <is>
          <t>Verificación</t>
        </is>
      </c>
      <c r="C19" s="5" t="inlineStr">
        <is>
          <t>Vía sin biometría con video y cédula</t>
        </is>
      </c>
      <c r="D19" s="5" t="inlineStr">
        <is>
          <t>Verificación alternativa → advertencia y grabación → código → documento → video</t>
        </is>
      </c>
      <c r="E19" s="5" t="inlineStr">
        <is>
          <t>Queda pendiente de revisión; el moderador ve el video, el RUT y el código; al aprobar el video se elimina</t>
        </is>
      </c>
      <c r="F19" s="6" t="inlineStr"/>
      <c r="G19" s="6" t="inlineStr"/>
      <c r="H19" s="6" t="inlineStr"/>
    </row>
    <row r="20">
      <c r="A20" s="5" t="inlineStr">
        <is>
          <t>P-019</t>
        </is>
      </c>
      <c r="B20" s="5" t="inlineStr">
        <is>
          <t>Verificación</t>
        </is>
      </c>
      <c r="C20" s="5" t="inlineStr">
        <is>
          <t>Biometría nativa sin documento aprobado</t>
        </is>
      </c>
      <c r="D20" s="5" t="inlineStr">
        <is>
          <t>Pantalla de biometría</t>
        </is>
      </c>
      <c r="E20" s="5" t="inlineStr">
        <is>
          <t>Pide verificar antes con documento o rostro</t>
        </is>
      </c>
      <c r="F20" s="6" t="inlineStr"/>
      <c r="G20" s="6" t="inlineStr"/>
      <c r="H20" s="6" t="inlineStr"/>
    </row>
    <row r="21">
      <c r="A21" s="5" t="inlineStr">
        <is>
          <t>P-020</t>
        </is>
      </c>
      <c r="B21" s="5" t="inlineStr">
        <is>
          <t>Verificación</t>
        </is>
      </c>
      <c r="C21" s="5" t="inlineStr">
        <is>
          <t>Reconocimiento facial con parpadeo</t>
        </is>
      </c>
      <c r="D21" s="5" t="inlineStr">
        <is>
          <t>/rostro</t>
        </is>
      </c>
      <c r="E21" s="5" t="inlineStr">
        <is>
          <t>Registra y verifica con buena luz</t>
        </is>
      </c>
      <c r="F21" s="6" t="inlineStr"/>
      <c r="G21" s="6" t="inlineStr"/>
      <c r="H21" s="6" t="inlineStr"/>
    </row>
    <row r="22">
      <c r="A22" s="5" t="inlineStr">
        <is>
          <t>P-021</t>
        </is>
      </c>
      <c r="B22" s="5" t="inlineStr">
        <is>
          <t>Admin</t>
        </is>
      </c>
      <c r="C22" s="5" t="inlineStr">
        <is>
          <t>Dashboard del superusuario y del moderador</t>
        </is>
      </c>
      <c r="D22" s="5" t="inlineStr">
        <is>
          <t>/admin/</t>
        </is>
      </c>
      <c r="E22" s="5" t="inlineStr">
        <is>
          <t>El superusuario ve reembolsos y solicitudes; el moderador solo lo suyo</t>
        </is>
      </c>
      <c r="F22" s="6" t="inlineStr"/>
      <c r="G22" s="6" t="inlineStr"/>
      <c r="H22" s="6" t="inlineStr"/>
    </row>
    <row r="23">
      <c r="A23" s="5" t="inlineStr">
        <is>
          <t>P-022</t>
        </is>
      </c>
      <c r="B23" s="5" t="inlineStr">
        <is>
          <t>Admin</t>
        </is>
      </c>
      <c r="C23" s="5" t="inlineStr">
        <is>
          <t>Moderador aprueba una publicación y una verificación</t>
        </is>
      </c>
      <c r="D23" s="5" t="inlineStr">
        <is>
          <t>Admin → acciones</t>
        </is>
      </c>
      <c r="E23" s="5" t="inlineStr">
        <is>
          <t>Queda registrado quién y cuándo</t>
        </is>
      </c>
      <c r="F23" s="6" t="inlineStr"/>
      <c r="G23" s="6" t="inlineStr"/>
      <c r="H23" s="6" t="inlineStr"/>
    </row>
    <row r="24">
      <c r="A24" s="5" t="inlineStr">
        <is>
          <t>P-023</t>
        </is>
      </c>
      <c r="B24" s="5" t="inlineStr">
        <is>
          <t>Seguridad</t>
        </is>
      </c>
      <c r="C24" s="5" t="inlineStr">
        <is>
          <t>Acceder a la conversación o al video de otra persona</t>
        </is>
      </c>
      <c r="D24" s="5" t="inlineStr">
        <is>
          <t>Cambiar IDs en la URL</t>
        </is>
      </c>
      <c r="E24" s="5" t="inlineStr">
        <is>
          <t>Siempre 404 y aparece en Intentos de acceso sospechoso</t>
        </is>
      </c>
      <c r="F24" s="6" t="inlineStr"/>
      <c r="G24" s="6" t="inlineStr"/>
      <c r="H24" s="6" t="inlineStr"/>
    </row>
    <row r="25">
      <c r="A25" s="5" t="inlineStr">
        <is>
          <t>P-024</t>
        </is>
      </c>
      <c r="B25" s="5" t="inlineStr">
        <is>
          <t>Seguridad</t>
        </is>
      </c>
      <c r="C25" s="5" t="inlineStr">
        <is>
          <t>Chequeo de claves de producción</t>
        </is>
      </c>
      <c r="D25" s="5" t="inlineStr">
        <is>
          <t>manage.py check con DJANGO_DEBUG=False</t>
        </is>
      </c>
      <c r="E25" s="5" t="inlineStr">
        <is>
          <t>Avisos keyserv.W001-W003 si faltan las claves</t>
        </is>
      </c>
      <c r="F25" s="6" t="inlineStr"/>
      <c r="G25" s="6" t="inlineStr"/>
      <c r="H25" s="6" t="inlineStr"/>
    </row>
    <row r="26">
      <c r="A26" s="5" t="inlineStr">
        <is>
          <t>P-025</t>
        </is>
      </c>
      <c r="B26" s="5" t="inlineStr">
        <is>
          <t>Móvil</t>
        </is>
      </c>
      <c r="C26" s="5" t="inlineStr">
        <is>
          <t>Recorrido completo en el celular (375-390 px)</t>
        </is>
      </c>
      <c r="D26" s="5" t="inlineStr">
        <is>
          <t>Login, catálogo, contratar, chat</t>
        </is>
      </c>
      <c r="E26" s="5" t="inlineStr">
        <is>
          <t>Todo se ve y funciona sin scroll horizontal</t>
        </is>
      </c>
      <c r="F26" s="6" t="inlineStr"/>
      <c r="G26" s="6" t="inlineStr"/>
      <c r="H26" s="6" t="inlineStr"/>
    </row>
    <row r="28">
      <c r="C28" s="2" t="inlineStr">
        <is>
          <t>Resumen</t>
        </is>
      </c>
    </row>
    <row r="29">
      <c r="C29" s="10" t="inlineStr">
        <is>
          <t>OK</t>
        </is>
      </c>
      <c r="D29" s="10">
        <f>COUNTIF(F2:F26,"OK")</f>
        <v/>
      </c>
    </row>
    <row r="30">
      <c r="C30" s="10" t="inlineStr">
        <is>
          <t>Falla</t>
        </is>
      </c>
      <c r="D30" s="10">
        <f>COUNTIF(F2:F26,"Falla")</f>
        <v/>
      </c>
    </row>
    <row r="31">
      <c r="C31" s="10" t="inlineStr">
        <is>
          <t>Sin probar</t>
        </is>
      </c>
      <c r="D31" s="10">
        <f>COUNTA(A2:A26)-D29-D30</f>
        <v/>
      </c>
    </row>
  </sheetData>
  <autoFilter ref="A1:H26"/>
  <conditionalFormatting sqref="A2:H200">
    <cfRule type="expression" priority="1" dxfId="0">
      <formula>$F2="OK"</formula>
    </cfRule>
    <cfRule type="expression" priority="2" dxfId="1">
      <formula>$F2="Falla"</formula>
    </cfRule>
  </conditionalFormatting>
  <dataValidations count="1">
    <dataValidation sqref="F2:F200" showDropDown="0" showInputMessage="0" showErrorMessage="0" allowBlank="1" type="list">
      <formula1>"OK,Falla,Pendiente"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80" customWidth="1" min="3" max="3"/>
    <col width="20" customWidth="1" min="4" max="4"/>
    <col width="14" customWidth="1" min="5" max="5"/>
    <col width="50" customWidth="1" min="6" max="6"/>
    <col width="12" customWidth="1" min="7" max="7"/>
  </cols>
  <sheetData>
    <row r="1" ht="30" customHeight="1">
      <c r="A1" s="4" t="inlineStr">
        <is>
          <t>N°</t>
        </is>
      </c>
      <c r="B1" s="4" t="inlineStr">
        <is>
          <t>Tema</t>
        </is>
      </c>
      <c r="C1" s="4" t="inlineStr">
        <is>
          <t>Requisito</t>
        </is>
      </c>
      <c r="D1" s="4" t="inlineStr">
        <is>
          <t>Fuente</t>
        </is>
      </c>
      <c r="E1" s="4" t="inlineStr">
        <is>
          <t>Estado</t>
        </is>
      </c>
      <c r="F1" s="4" t="inlineStr">
        <is>
          <t>Acción</t>
        </is>
      </c>
      <c r="G1" s="4" t="inlineStr">
        <is>
          <t>Responsable</t>
        </is>
      </c>
    </row>
    <row r="2">
      <c r="A2" s="5" t="n">
        <v>1</v>
      </c>
      <c r="B2" s="5" t="inlineStr">
        <is>
          <t>Postulante</t>
        </is>
      </c>
      <c r="C2" s="5" t="inlineStr">
        <is>
          <t>Persona natural mayor de 18 años y residente en Chile</t>
        </is>
      </c>
      <c r="D2" s="5" t="inlineStr">
        <is>
          <t>Bases 4.1 a)</t>
        </is>
      </c>
      <c r="E2" s="6" t="inlineStr">
        <is>
          <t>Por verificar</t>
        </is>
      </c>
      <c r="F2" s="6" t="inlineStr">
        <is>
          <t>Elegir al beneficiario entre los tres autores</t>
        </is>
      </c>
      <c r="G2" s="6" t="inlineStr">
        <is>
          <t>Dueño</t>
        </is>
      </c>
    </row>
    <row r="3">
      <c r="A3" s="5" t="n">
        <v>2</v>
      </c>
      <c r="B3" s="5" t="inlineStr">
        <is>
          <t>Postulante</t>
        </is>
      </c>
      <c r="C3" s="5" t="inlineStr">
        <is>
          <t>No tener participación en una sociedad que ya ejecute el proyecto</t>
        </is>
      </c>
      <c r="D3" s="5" t="inlineStr">
        <is>
          <t>Bases 4.1 a)</t>
        </is>
      </c>
      <c r="E3" s="6" t="inlineStr">
        <is>
          <t>Por verificar</t>
        </is>
      </c>
      <c r="F3" s="6" t="inlineStr">
        <is>
          <t>No constituir la sociedad antes de postular</t>
        </is>
      </c>
      <c r="G3" s="6" t="inlineStr">
        <is>
          <t>Dueño</t>
        </is>
      </c>
    </row>
    <row r="4">
      <c r="A4" s="5" t="n">
        <v>3</v>
      </c>
      <c r="B4" s="5" t="inlineStr">
        <is>
          <t>Postulante</t>
        </is>
      </c>
      <c r="C4" s="5" t="inlineStr">
        <is>
          <t>No figurar en el Registro Nacional de Deudores de Pensiones de Alimentos</t>
        </is>
      </c>
      <c r="D4" s="5" t="inlineStr">
        <is>
          <t>Bases 9.1, 13.3</t>
        </is>
      </c>
      <c r="E4" s="6" t="inlineStr">
        <is>
          <t>Por verificar</t>
        </is>
      </c>
      <c r="F4" s="6" t="inlineStr">
        <is>
          <t>Cada integrante lo revisa</t>
        </is>
      </c>
      <c r="G4" s="6" t="inlineStr">
        <is>
          <t>Dueño</t>
        </is>
      </c>
    </row>
    <row r="5">
      <c r="A5" s="5" t="n">
        <v>4</v>
      </c>
      <c r="B5" s="5" t="inlineStr">
        <is>
          <t>Postulante</t>
        </is>
      </c>
      <c r="C5" s="5" t="inlineStr">
        <is>
          <t>Sin otro proyecto Corfo vigente (más de 2 meses de terminar) ni cofinanciamiento previo del mismo emprendimiento</t>
        </is>
      </c>
      <c r="D5" s="5" t="inlineStr">
        <is>
          <t>Bases 4.4</t>
        </is>
      </c>
      <c r="E5" s="6" t="inlineStr">
        <is>
          <t>Por verificar</t>
        </is>
      </c>
      <c r="F5" s="6" t="inlineStr">
        <is>
          <t>Confirmar con cada integrante</t>
        </is>
      </c>
      <c r="G5" s="6" t="inlineStr">
        <is>
          <t>Dueño</t>
        </is>
      </c>
    </row>
    <row r="6">
      <c r="A6" s="5" t="n">
        <v>5</v>
      </c>
      <c r="B6" s="5" t="inlineStr">
        <is>
          <t>Postulante</t>
        </is>
      </c>
      <c r="C6" s="5" t="inlineStr">
        <is>
          <t>Una sola postulación por persona natural en cada convocatoria</t>
        </is>
      </c>
      <c r="D6" s="5" t="inlineStr">
        <is>
          <t>Bases 4.4.2</t>
        </is>
      </c>
      <c r="E6" s="6" t="inlineStr">
        <is>
          <t>Cumple</t>
        </is>
      </c>
      <c r="F6" s="6" t="inlineStr">
        <is>
          <t>Postular una vez</t>
        </is>
      </c>
      <c r="G6" s="6" t="inlineStr">
        <is>
          <t>Dueño</t>
        </is>
      </c>
    </row>
    <row r="7">
      <c r="A7" s="5" t="n">
        <v>6</v>
      </c>
      <c r="B7" s="5" t="inlineStr">
        <is>
          <t>Proyecto</t>
        </is>
      </c>
      <c r="C7" s="5" t="inlineStr">
        <is>
          <t>Innovación suficiente frente a las soluciones existentes</t>
        </is>
      </c>
      <c r="D7" s="5" t="inlineStr">
        <is>
          <t>Bases 2.1, 13.1</t>
        </is>
      </c>
      <c r="E7" s="6" t="inlineStr">
        <is>
          <t>Falta</t>
        </is>
      </c>
      <c r="F7" s="6" t="inlineStr">
        <is>
          <t>Estudio de competencia chilena y propuesta de valor</t>
        </is>
      </c>
      <c r="G7" s="6" t="inlineStr">
        <is>
          <t>Dueño</t>
        </is>
      </c>
    </row>
    <row r="8">
      <c r="A8" s="5" t="n">
        <v>7</v>
      </c>
      <c r="B8" s="5" t="inlineStr">
        <is>
          <t>Proyecto</t>
        </is>
      </c>
      <c r="C8" s="5" t="inlineStr">
        <is>
          <t>Alcance no exclusivamente local (comunal o provincial no es admisible)</t>
        </is>
      </c>
      <c r="D8" s="5" t="inlineStr">
        <is>
          <t>Bases 2.1 c)</t>
        </is>
      </c>
      <c r="E8" s="6" t="inlineStr">
        <is>
          <t>Falta</t>
        </is>
      </c>
      <c r="F8" s="6" t="inlineStr">
        <is>
          <t>Argumentar plan nacional con inicio en la Región Metropolitana</t>
        </is>
      </c>
      <c r="G8" s="6" t="inlineStr">
        <is>
          <t>Dueño</t>
        </is>
      </c>
    </row>
    <row r="9">
      <c r="A9" s="5" t="n">
        <v>8</v>
      </c>
      <c r="B9" s="5" t="inlineStr">
        <is>
          <t>Proyecto</t>
        </is>
      </c>
      <c r="C9" s="5" t="inlineStr">
        <is>
          <t>No tener ingresos por ventas (personas jurídicas) y primera venta durante la ejecución</t>
        </is>
      </c>
      <c r="D9" s="5" t="inlineStr">
        <is>
          <t>Bases 3, 4.1 b), 13.3</t>
        </is>
      </c>
      <c r="E9" s="6" t="inlineStr">
        <is>
          <t>Cumple</t>
        </is>
      </c>
      <c r="F9" s="6" t="inlineStr">
        <is>
          <t>Mantener el demo sin cobros reales</t>
        </is>
      </c>
      <c r="G9" s="6" t="inlineStr">
        <is>
          <t>Dueño</t>
        </is>
      </c>
    </row>
    <row r="10">
      <c r="A10" s="5" t="n">
        <v>9</v>
      </c>
      <c r="B10" s="5" t="inlineStr">
        <is>
          <t>Proyecto</t>
        </is>
      </c>
      <c r="C10" s="5" t="inlineStr">
        <is>
          <t>Objetivo alineado: validación técnica y comercial (no compra de equipos ni consultorías)</t>
        </is>
      </c>
      <c r="D10" s="5" t="inlineStr">
        <is>
          <t>Bases 2.1</t>
        </is>
      </c>
      <c r="E10" s="6" t="inlineStr">
        <is>
          <t>Cumple</t>
        </is>
      </c>
      <c r="F10" s="6" t="inlineStr">
        <is>
          <t>Redactar el plan de validación</t>
        </is>
      </c>
      <c r="G10" s="6" t="inlineStr">
        <is>
          <t>Dueño</t>
        </is>
      </c>
    </row>
    <row r="11">
      <c r="A11" s="5" t="n">
        <v>10</v>
      </c>
      <c r="B11" s="5" t="inlineStr">
        <is>
          <t>Equipo</t>
        </is>
      </c>
      <c r="C11" s="5" t="inlineStr">
        <is>
          <t>Al menos 2 personas (hasta 3 cofundadores) con roles complementarios</t>
        </is>
      </c>
      <c r="D11" s="5" t="inlineStr">
        <is>
          <t>Bases 4.2, 9.2</t>
        </is>
      </c>
      <c r="E11" s="6" t="inlineStr">
        <is>
          <t>Por verificar</t>
        </is>
      </c>
      <c r="F11" s="6" t="inlineStr">
        <is>
          <t>Confirmar roles y perfil comercial</t>
        </is>
      </c>
      <c r="G11" s="6" t="inlineStr">
        <is>
          <t>Dueño</t>
        </is>
      </c>
    </row>
    <row r="12">
      <c r="A12" s="5" t="n">
        <v>11</v>
      </c>
      <c r="B12" s="5" t="inlineStr">
        <is>
          <t>Equipo</t>
        </is>
      </c>
      <c r="C12" s="5" t="inlineStr">
        <is>
          <t>Dedicación horaria comprometida (máx. 40 a 44 h semanales) y verificable</t>
        </is>
      </c>
      <c r="D12" s="5" t="inlineStr">
        <is>
          <t>Bases 8 d)</t>
        </is>
      </c>
      <c r="E12" s="6" t="inlineStr">
        <is>
          <t>Falta</t>
        </is>
      </c>
      <c r="F12" s="6" t="inlineStr">
        <is>
          <t>Completar horas por persona</t>
        </is>
      </c>
      <c r="G12" s="6" t="inlineStr">
        <is>
          <t>Dueño</t>
        </is>
      </c>
    </row>
    <row r="13">
      <c r="A13" s="5" t="n">
        <v>12</v>
      </c>
      <c r="B13" s="5" t="inlineStr">
        <is>
          <t>Participantes</t>
        </is>
      </c>
      <c r="C13" s="5" t="inlineStr">
        <is>
          <t>Entidad Patrocinadora de la nómina de Semilla Inicia habilitada para la región</t>
        </is>
      </c>
      <c r="D13" s="5" t="inlineStr">
        <is>
          <t>Bases 4.3</t>
        </is>
      </c>
      <c r="E13" s="6" t="inlineStr">
        <is>
          <t>Falta</t>
        </is>
      </c>
      <c r="F13" s="6" t="inlineStr">
        <is>
          <t>Buscar y elegir; preguntar a INACAP</t>
        </is>
      </c>
      <c r="G13" s="6" t="inlineStr">
        <is>
          <t>Dueño</t>
        </is>
      </c>
    </row>
    <row r="14">
      <c r="A14" s="5" t="n">
        <v>13</v>
      </c>
      <c r="B14" s="5" t="inlineStr">
        <is>
          <t>Participantes</t>
        </is>
      </c>
      <c r="C14" s="5" t="inlineStr">
        <is>
          <t>Mentoría de una red reconocida por Corfo, iniciada en los primeros 4 meses</t>
        </is>
      </c>
      <c r="D14" s="5" t="inlineStr">
        <is>
          <t>Bases 3, 7.1</t>
        </is>
      </c>
      <c r="E14" s="6" t="inlineStr">
        <is>
          <t>Falta</t>
        </is>
      </c>
      <c r="F14" s="6" t="inlineStr">
        <is>
          <t>Elegir la red con la patrocinadora</t>
        </is>
      </c>
      <c r="G14" s="6" t="inlineStr">
        <is>
          <t>Dueño</t>
        </is>
      </c>
    </row>
    <row r="15">
      <c r="A15" s="5" t="n">
        <v>14</v>
      </c>
      <c r="B15" s="5" t="inlineStr">
        <is>
          <t>Formulario</t>
        </is>
      </c>
      <c r="C15" s="5" t="inlineStr">
        <is>
          <t>a) Solución: problema, valor agregado, estado de desarrollo, ODS</t>
        </is>
      </c>
      <c r="D15" s="5" t="inlineStr">
        <is>
          <t>Bases 8 a)</t>
        </is>
      </c>
      <c r="E15" s="6" t="inlineStr">
        <is>
          <t>Borrador</t>
        </is>
      </c>
      <c r="F15" s="6" t="inlineStr">
        <is>
          <t>Reescribir con el encuadre de inclusión laboral y citar cifras reales de manage.py reporte_impacto (docs/corfo/README.md §6); completar docs/corfo/BORRADOR_POSTULACION.md</t>
        </is>
      </c>
      <c r="G15" s="6" t="inlineStr">
        <is>
          <t>Dueño</t>
        </is>
      </c>
    </row>
    <row r="16">
      <c r="A16" s="5" t="n">
        <v>15</v>
      </c>
      <c r="B16" s="5" t="inlineStr">
        <is>
          <t>Formulario</t>
        </is>
      </c>
      <c r="C16" s="5" t="inlineStr">
        <is>
          <t>b) Escalabilidad: modelo de negocios, clientes, competencia, mercado, región</t>
        </is>
      </c>
      <c r="D16" s="5" t="inlineStr">
        <is>
          <t>Bases 8 b)</t>
        </is>
      </c>
      <c r="E16" s="6" t="inlineStr">
        <is>
          <t>Borrador</t>
        </is>
      </c>
      <c r="F16" s="6" t="inlineStr">
        <is>
          <t>Falta mercado y competencia chilena</t>
        </is>
      </c>
      <c r="G16" s="6" t="inlineStr">
        <is>
          <t>Dueño</t>
        </is>
      </c>
    </row>
    <row r="17">
      <c r="A17" s="5" t="n">
        <v>16</v>
      </c>
      <c r="B17" s="5" t="inlineStr">
        <is>
          <t>Formulario</t>
        </is>
      </c>
      <c r="C17" s="5" t="inlineStr">
        <is>
          <t>c) Plan de validación con actividades y resultados</t>
        </is>
      </c>
      <c r="D17" s="5" t="inlineStr">
        <is>
          <t>Bases 8 c)</t>
        </is>
      </c>
      <c r="E17" s="6" t="inlineStr">
        <is>
          <t>Borrador</t>
        </is>
      </c>
      <c r="F17" s="6" t="inlineStr">
        <is>
          <t>Ajustar con fechas reales (hoja Gantt)</t>
        </is>
      </c>
      <c r="G17" s="6" t="inlineStr">
        <is>
          <t>Dueño</t>
        </is>
      </c>
    </row>
    <row r="18">
      <c r="A18" s="5" t="n">
        <v>17</v>
      </c>
      <c r="B18" s="5" t="inlineStr">
        <is>
          <t>Formulario</t>
        </is>
      </c>
      <c r="C18" s="5" t="inlineStr">
        <is>
          <t>d) Capacidades del equipo y dedicación</t>
        </is>
      </c>
      <c r="D18" s="5" t="inlineStr">
        <is>
          <t>Bases 8 d)</t>
        </is>
      </c>
      <c r="E18" s="6" t="inlineStr">
        <is>
          <t>Falta</t>
        </is>
      </c>
      <c r="F18" s="6" t="inlineStr">
        <is>
          <t>Completar con datos reales</t>
        </is>
      </c>
      <c r="G18" s="6" t="inlineStr">
        <is>
          <t>Dueño</t>
        </is>
      </c>
    </row>
    <row r="19">
      <c r="A19" s="5" t="n">
        <v>18</v>
      </c>
      <c r="B19" s="5" t="inlineStr">
        <is>
          <t>Formulario</t>
        </is>
      </c>
      <c r="C19" s="5" t="inlineStr">
        <is>
          <t>e) Video de máximo 40 s, accesible y con fecha de carga</t>
        </is>
      </c>
      <c r="D19" s="5" t="inlineStr">
        <is>
          <t>Bases 8 e)</t>
        </is>
      </c>
      <c r="E19" s="6" t="inlineStr">
        <is>
          <t>Falta</t>
        </is>
      </c>
      <c r="F19" s="6" t="inlineStr">
        <is>
          <t>Grabar con el guion del borrador</t>
        </is>
      </c>
      <c r="G19" s="6" t="inlineStr">
        <is>
          <t>Dueño</t>
        </is>
      </c>
    </row>
    <row r="20">
      <c r="A20" s="5" t="n">
        <v>19</v>
      </c>
      <c r="B20" s="5" t="inlineStr">
        <is>
          <t>Formulario</t>
        </is>
      </c>
      <c r="C20" s="5" t="inlineStr">
        <is>
          <t>Anexo 2 (ODS) y Anexo 3 (estrategia de operación sostenible)</t>
        </is>
      </c>
      <c r="D20" s="5" t="inlineStr">
        <is>
          <t>Bases anexos 2 y 3</t>
        </is>
      </c>
      <c r="E20" s="6" t="inlineStr">
        <is>
          <t>Falta</t>
        </is>
      </c>
      <c r="F20" s="6" t="inlineStr">
        <is>
          <t>Leer los anexos y completar</t>
        </is>
      </c>
      <c r="G20" s="6" t="inlineStr">
        <is>
          <t>Dueño</t>
        </is>
      </c>
    </row>
    <row r="21">
      <c r="A21" s="5" t="n">
        <v>20</v>
      </c>
      <c r="B21" s="5" t="inlineStr">
        <is>
          <t>Presupuesto</t>
        </is>
      </c>
      <c r="C21" s="5" t="inlineStr">
        <is>
          <t>Aporte propio de al menos 25 % del costo total</t>
        </is>
      </c>
      <c r="D21" s="5" t="inlineStr">
        <is>
          <t>Bases 6.3</t>
        </is>
      </c>
      <c r="E21" s="6" t="inlineStr">
        <is>
          <t>Falta</t>
        </is>
      </c>
      <c r="F21" s="6" t="inlineStr">
        <is>
          <t>Completar la hoja Presupuesto</t>
        </is>
      </c>
      <c r="G21" s="6" t="inlineStr">
        <is>
          <t>Dueño</t>
        </is>
      </c>
    </row>
    <row r="22">
      <c r="A22" s="5" t="n">
        <v>21</v>
      </c>
      <c r="B22" s="5" t="inlineStr">
        <is>
          <t>Presupuesto</t>
        </is>
      </c>
      <c r="C22" s="5" t="inlineStr">
        <is>
          <t>Subsidio de hasta 75 % con tope de $15.000.000; gastos de inversión hasta 20 % del subsidio; honorarios de socios hasta $700.000 al mes (máx. 2)</t>
        </is>
      </c>
      <c r="D22" s="5" t="inlineStr">
        <is>
          <t>Bases 6.1, 12</t>
        </is>
      </c>
      <c r="E22" s="6" t="inlineStr">
        <is>
          <t>Por verificar</t>
        </is>
      </c>
      <c r="F22" s="6" t="inlineStr">
        <is>
          <t>Armar el presupuesto dentro de los topes</t>
        </is>
      </c>
      <c r="G22" s="6" t="inlineStr">
        <is>
          <t>Dueño</t>
        </is>
      </c>
    </row>
    <row r="23">
      <c r="A23" s="5" t="n">
        <v>22</v>
      </c>
      <c r="B23" s="5" t="inlineStr">
        <is>
          <t>Presupuesto</t>
        </is>
      </c>
      <c r="C23" s="5" t="inlineStr">
        <is>
          <t>Incluir la constitución de la sociedad e inicio de actividades (actividad obligatoria si es persona natural)</t>
        </is>
      </c>
      <c r="D23" s="5" t="inlineStr">
        <is>
          <t>Bases 7.1 b)</t>
        </is>
      </c>
      <c r="E23" s="6" t="inlineStr">
        <is>
          <t>Falta</t>
        </is>
      </c>
      <c r="F23" s="6" t="inlineStr">
        <is>
          <t>Cotizar abogado y notaría</t>
        </is>
      </c>
      <c r="G23" s="6" t="inlineStr">
        <is>
          <t>Dueño</t>
        </is>
      </c>
    </row>
    <row r="24">
      <c r="A24" s="5" t="n">
        <v>23</v>
      </c>
      <c r="B24" s="5" t="inlineStr">
        <is>
          <t>Después de aprobar</t>
        </is>
      </c>
      <c r="C24" s="5" t="inlineStr">
        <is>
          <t>Contrato con la Entidad Patrocinadora y antecedentes de edad y residencia (15 días)</t>
        </is>
      </c>
      <c r="D24" s="5" t="inlineStr">
        <is>
          <t>Bases 13.3, Anexo 1</t>
        </is>
      </c>
      <c r="E24" s="6" t="inlineStr">
        <is>
          <t>Futuro</t>
        </is>
      </c>
      <c r="F24" s="6" t="inlineStr"/>
      <c r="G24" s="6" t="inlineStr">
        <is>
          <t>Dueño</t>
        </is>
      </c>
    </row>
    <row r="25">
      <c r="A25" s="5" t="n">
        <v>24</v>
      </c>
      <c r="B25" s="5" t="inlineStr">
        <is>
          <t>Después de aprobar</t>
        </is>
      </c>
      <c r="C25" s="5" t="inlineStr">
        <is>
          <t>Constituir la persona jurídica: beneficiario con participación mayoritaria; cada integrante con al menos 5 %</t>
        </is>
      </c>
      <c r="D25" s="5" t="inlineStr">
        <is>
          <t>Bases 4.4.2</t>
        </is>
      </c>
      <c r="E25" s="6" t="inlineStr">
        <is>
          <t>Futuro</t>
        </is>
      </c>
      <c r="F25" s="6" t="inlineStr">
        <is>
          <t>Acordar el reparto desde ya</t>
        </is>
      </c>
      <c r="G25" s="6" t="inlineStr">
        <is>
          <t>Dueño</t>
        </is>
      </c>
    </row>
    <row r="27">
      <c r="C27" s="8" t="inlineStr">
        <is>
          <t>Fuente: bases técnicas de Semilla Inicia (Res. Exenta 1498/2025) y ficha oficial del concurso Biobío 2026. Cada convocatoria puede cambiar los requisitos: leer las bases del llamado exacto.</t>
        </is>
      </c>
    </row>
    <row r="28">
      <c r="C28" s="8" t="n"/>
    </row>
    <row r="29">
      <c r="C29" s="10" t="inlineStr">
        <is>
          <t>Cumple</t>
        </is>
      </c>
      <c r="D29" s="10">
        <f>COUNTIF(E2:E25,"Cumple")</f>
        <v/>
      </c>
    </row>
    <row r="30">
      <c r="C30" s="10" t="inlineStr">
        <is>
          <t>Por verificar</t>
        </is>
      </c>
      <c r="D30" s="10">
        <f>COUNTIF(E2:E25,"Por verificar")</f>
        <v/>
      </c>
    </row>
    <row r="31">
      <c r="C31" s="10" t="inlineStr">
        <is>
          <t>Borrador</t>
        </is>
      </c>
      <c r="D31" s="10">
        <f>COUNTIF(E2:E25,"Borrador")</f>
        <v/>
      </c>
    </row>
    <row r="32">
      <c r="C32" s="10" t="inlineStr">
        <is>
          <t>Falta</t>
        </is>
      </c>
      <c r="D32" s="10">
        <f>COUNTIF(E2:E25,"Falta")</f>
        <v/>
      </c>
    </row>
    <row r="33">
      <c r="C33" s="10" t="inlineStr">
        <is>
          <t>Futuro</t>
        </is>
      </c>
      <c r="D33" s="10">
        <f>COUNTIF(E2:E25,"Futuro")</f>
        <v/>
      </c>
    </row>
  </sheetData>
  <autoFilter ref="A1:G25"/>
  <conditionalFormatting sqref="A2:G200">
    <cfRule type="expression" priority="1" dxfId="0">
      <formula>$E2="Cumple"</formula>
    </cfRule>
    <cfRule type="expression" priority="2" dxfId="2">
      <formula>$E2="Borrador"</formula>
    </cfRule>
    <cfRule type="expression" priority="3" dxfId="2">
      <formula>$E2="Por verificar"</formula>
    </cfRule>
    <cfRule type="expression" priority="4" dxfId="1">
      <formula>$E2="Falta"</formula>
    </cfRule>
  </conditionalFormatting>
  <dataValidations count="1">
    <dataValidation sqref="E2:E200" showDropDown="0" showInputMessage="0" showErrorMessage="0" allowBlank="1" type="list">
      <formula1>"Cumple,Por verificar,Borrador,Falta,Futuro"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4"/>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0" customWidth="1" min="1" max="1"/>
    <col width="14" customWidth="1" min="2" max="2"/>
    <col width="10" customWidth="1" min="3" max="3"/>
    <col width="10"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s>
  <sheetData>
    <row r="1">
      <c r="A1" s="7" t="inlineStr">
        <is>
          <t>Actividad</t>
        </is>
      </c>
      <c r="B1" s="7" t="inlineStr">
        <is>
          <t>Responsable</t>
        </is>
      </c>
      <c r="C1" s="7" t="inlineStr">
        <is>
          <t>Inicio (mes)</t>
        </is>
      </c>
      <c r="D1" s="7" t="inlineStr">
        <is>
          <t>Fin (mes)</t>
        </is>
      </c>
      <c r="E1" s="23" t="n">
        <v>1</v>
      </c>
      <c r="F1" s="23" t="n">
        <v>2</v>
      </c>
      <c r="G1" s="23" t="n">
        <v>3</v>
      </c>
      <c r="H1" s="23" t="n">
        <v>4</v>
      </c>
      <c r="I1" s="23" t="n">
        <v>5</v>
      </c>
      <c r="J1" s="23" t="n">
        <v>6</v>
      </c>
      <c r="K1" s="23" t="n">
        <v>7</v>
      </c>
      <c r="L1" s="23" t="n">
        <v>8</v>
      </c>
      <c r="M1" s="23" t="n">
        <v>9</v>
      </c>
      <c r="N1" s="23" t="n">
        <v>10</v>
      </c>
    </row>
    <row r="2">
      <c r="A2" s="24" t="inlineStr">
        <is>
          <t>Constituir la sociedad e iniciar actividades en el SII</t>
        </is>
      </c>
      <c r="B2" s="25" t="inlineStr">
        <is>
          <t>Dueño</t>
        </is>
      </c>
      <c r="C2" s="25" t="n">
        <v>1</v>
      </c>
      <c r="D2" s="25" t="n">
        <v>2</v>
      </c>
      <c r="E2" s="26" t="n"/>
      <c r="F2" s="26" t="n"/>
      <c r="G2" s="26" t="n"/>
      <c r="H2" s="26" t="n"/>
      <c r="I2" s="26" t="n"/>
      <c r="J2" s="26" t="n"/>
      <c r="K2" s="26" t="n"/>
      <c r="L2" s="26" t="n"/>
      <c r="M2" s="26" t="n"/>
      <c r="N2" s="26" t="n"/>
    </row>
    <row r="3">
      <c r="A3" s="24" t="inlineStr">
        <is>
          <t>Firmar el contrato con la Entidad Patrocinadora</t>
        </is>
      </c>
      <c r="B3" s="25" t="inlineStr">
        <is>
          <t>Dueño</t>
        </is>
      </c>
      <c r="C3" s="25" t="n">
        <v>1</v>
      </c>
      <c r="D3" s="25" t="n">
        <v>1</v>
      </c>
      <c r="E3" s="26" t="n"/>
      <c r="F3" s="26" t="n"/>
      <c r="G3" s="26" t="n"/>
      <c r="H3" s="26" t="n"/>
      <c r="I3" s="26" t="n"/>
      <c r="J3" s="26" t="n"/>
      <c r="K3" s="26" t="n"/>
      <c r="L3" s="26" t="n"/>
      <c r="M3" s="26" t="n"/>
      <c r="N3" s="26" t="n"/>
    </row>
    <row r="4">
      <c r="A4" s="24" t="inlineStr">
        <is>
          <t>Definir el modelo de negocios con la mentoría</t>
        </is>
      </c>
      <c r="B4" s="25" t="inlineStr">
        <is>
          <t>Todos</t>
        </is>
      </c>
      <c r="C4" s="25" t="n">
        <v>1</v>
      </c>
      <c r="D4" s="25" t="n">
        <v>2</v>
      </c>
      <c r="E4" s="26" t="n"/>
      <c r="F4" s="26" t="n"/>
      <c r="G4" s="26" t="n"/>
      <c r="H4" s="26" t="n"/>
      <c r="I4" s="26" t="n"/>
      <c r="J4" s="26" t="n"/>
      <c r="K4" s="26" t="n"/>
      <c r="L4" s="26" t="n"/>
      <c r="M4" s="26" t="n"/>
      <c r="N4" s="26" t="n"/>
    </row>
    <row r="5">
      <c r="A5" s="24" t="inlineStr">
        <is>
          <t>Producción técnica: pasarela real, correo transaccional, T&amp;C, claves</t>
        </is>
      </c>
      <c r="B5" s="25" t="inlineStr">
        <is>
          <t>Claude</t>
        </is>
      </c>
      <c r="C5" s="25" t="n">
        <v>1</v>
      </c>
      <c r="D5" s="25" t="n">
        <v>4</v>
      </c>
      <c r="E5" s="26" t="n"/>
      <c r="F5" s="26" t="n"/>
      <c r="G5" s="26" t="n"/>
      <c r="H5" s="26" t="n"/>
      <c r="I5" s="26" t="n"/>
      <c r="J5" s="26" t="n"/>
      <c r="K5" s="26" t="n"/>
      <c r="L5" s="26" t="n"/>
      <c r="M5" s="26" t="n"/>
      <c r="N5" s="26" t="n"/>
    </row>
    <row r="6">
      <c r="A6" s="24" t="inlineStr">
        <is>
          <t>Cumplimiento Ley 21.719 y revisión legal</t>
        </is>
      </c>
      <c r="B6" s="25" t="inlineStr">
        <is>
          <t>Dueño</t>
        </is>
      </c>
      <c r="C6" s="25" t="n">
        <v>1</v>
      </c>
      <c r="D6" s="25" t="n">
        <v>4</v>
      </c>
      <c r="E6" s="26" t="n"/>
      <c r="F6" s="26" t="n"/>
      <c r="G6" s="26" t="n"/>
      <c r="H6" s="26" t="n"/>
      <c r="I6" s="26" t="n"/>
      <c r="J6" s="26" t="n"/>
      <c r="K6" s="26" t="n"/>
      <c r="L6" s="26" t="n"/>
      <c r="M6" s="26" t="n"/>
      <c r="N6" s="26" t="n"/>
    </row>
    <row r="7">
      <c r="A7" s="24" t="inlineStr">
        <is>
          <t>Mentoría (debe iniciar antes del mes 4)</t>
        </is>
      </c>
      <c r="B7" s="25" t="inlineStr">
        <is>
          <t>Todos</t>
        </is>
      </c>
      <c r="C7" s="25" t="n">
        <v>2</v>
      </c>
      <c r="D7" s="25" t="n">
        <v>10</v>
      </c>
      <c r="E7" s="26" t="n"/>
      <c r="F7" s="26" t="n"/>
      <c r="G7" s="26" t="n"/>
      <c r="H7" s="26" t="n"/>
      <c r="I7" s="26" t="n"/>
      <c r="J7" s="26" t="n"/>
      <c r="K7" s="26" t="n"/>
      <c r="L7" s="26" t="n"/>
      <c r="M7" s="26" t="n"/>
      <c r="N7" s="26" t="n"/>
    </row>
    <row r="8">
      <c r="A8" s="24" t="inlineStr">
        <is>
          <t>Estrategia de operación sostenible (Anexo 3)</t>
        </is>
      </c>
      <c r="B8" s="25" t="inlineStr">
        <is>
          <t>Todos</t>
        </is>
      </c>
      <c r="C8" s="25" t="n">
        <v>3</v>
      </c>
      <c r="D8" s="25" t="n">
        <v>6</v>
      </c>
      <c r="E8" s="26" t="n"/>
      <c r="F8" s="26" t="n"/>
      <c r="G8" s="26" t="n"/>
      <c r="H8" s="26" t="n"/>
      <c r="I8" s="26" t="n"/>
      <c r="J8" s="26" t="n"/>
      <c r="K8" s="26" t="n"/>
      <c r="L8" s="26" t="n"/>
      <c r="M8" s="26" t="n"/>
      <c r="N8" s="26" t="n"/>
    </row>
    <row r="9">
      <c r="A9" s="24" t="inlineStr">
        <is>
          <t>Piloto con proveedores y clientes reales; validación comercial</t>
        </is>
      </c>
      <c r="B9" s="25" t="inlineStr">
        <is>
          <t>Todos</t>
        </is>
      </c>
      <c r="C9" s="25" t="n">
        <v>3</v>
      </c>
      <c r="D9" s="25" t="n">
        <v>9</v>
      </c>
      <c r="E9" s="26" t="n"/>
      <c r="F9" s="26" t="n"/>
      <c r="G9" s="26" t="n"/>
      <c r="H9" s="26" t="n"/>
      <c r="I9" s="26" t="n"/>
      <c r="J9" s="26" t="n"/>
      <c r="K9" s="26" t="n"/>
      <c r="L9" s="26" t="n"/>
      <c r="M9" s="26" t="n"/>
      <c r="N9" s="26" t="n"/>
    </row>
    <row r="10">
      <c r="A10" s="24" t="inlineStr">
        <is>
          <t>Primera venta: servicio pagado en la plataforma</t>
        </is>
      </c>
      <c r="B10" s="25" t="inlineStr">
        <is>
          <t>Todos</t>
        </is>
      </c>
      <c r="C10" s="25" t="n">
        <v>5</v>
      </c>
      <c r="D10" s="25" t="n">
        <v>8</v>
      </c>
      <c r="E10" s="26" t="n"/>
      <c r="F10" s="26" t="n"/>
      <c r="G10" s="26" t="n"/>
      <c r="H10" s="26" t="n"/>
      <c r="I10" s="26" t="n"/>
      <c r="J10" s="26" t="n"/>
      <c r="K10" s="26" t="n"/>
      <c r="L10" s="26" t="n"/>
      <c r="M10" s="26" t="n"/>
      <c r="N10" s="26" t="n"/>
    </row>
    <row r="11">
      <c r="A11" s="24" t="inlineStr">
        <is>
          <t>Medición, ajustes y plan de escalamiento a otras regiones</t>
        </is>
      </c>
      <c r="B11" s="25" t="inlineStr">
        <is>
          <t>Todos</t>
        </is>
      </c>
      <c r="C11" s="25" t="n">
        <v>8</v>
      </c>
      <c r="D11" s="25" t="n">
        <v>10</v>
      </c>
      <c r="E11" s="26" t="n"/>
      <c r="F11" s="26" t="n"/>
      <c r="G11" s="26" t="n"/>
      <c r="H11" s="26" t="n"/>
      <c r="I11" s="26" t="n"/>
      <c r="J11" s="26" t="n"/>
      <c r="K11" s="26" t="n"/>
      <c r="L11" s="26" t="n"/>
      <c r="M11" s="26" t="n"/>
      <c r="N11" s="26" t="n"/>
    </row>
    <row r="12">
      <c r="A12" s="24" t="inlineStr">
        <is>
          <t>Informe final y rendición</t>
        </is>
      </c>
      <c r="B12" s="25" t="inlineStr">
        <is>
          <t>Dueño</t>
        </is>
      </c>
      <c r="C12" s="25" t="n">
        <v>10</v>
      </c>
      <c r="D12" s="25" t="n">
        <v>10</v>
      </c>
      <c r="E12" s="26" t="n"/>
      <c r="F12" s="26" t="n"/>
      <c r="G12" s="26" t="n"/>
      <c r="H12" s="26" t="n"/>
      <c r="I12" s="26" t="n"/>
      <c r="J12" s="26" t="n"/>
      <c r="K12" s="26" t="n"/>
      <c r="L12" s="26" t="n"/>
      <c r="M12" s="26" t="n"/>
      <c r="N12" s="26" t="n"/>
    </row>
    <row r="14">
      <c r="A14" s="8" t="inlineStr">
        <is>
          <t>Meses de ejecución desde la firma del convenio (máximo 10, más 2 de prórroga excepcional). Cambia el inicio y el fin (azul) y la barra se mueve sola. Cuando se conozca la fecha de apertura, pasa estas actividades a Planner con fechas reales.</t>
        </is>
      </c>
    </row>
  </sheetData>
  <conditionalFormatting sqref="E2:N32">
    <cfRule type="expression" priority="1" dxfId="3">
      <formula>AND($C2&lt;&gt;"",E$1&gt;=$C2,E$1&lt;=$D2)</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2026-10-16T04:48:48Z</dcterms:created>
  <dcterms:modified xsi:type="dcterms:W3CDTF">2026-10-24T00:12:22Z</dcterms:modified>
</cp:coreProperties>
</file>